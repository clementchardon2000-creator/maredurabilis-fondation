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ynthèse" sheetId="1" state="visible" r:id="rId3"/>
    <sheet name="Budget global" sheetId="2" state="visible" r:id="rId4"/>
    <sheet name="A_P1" sheetId="3" state="visible" r:id="rId5"/>
    <sheet name="A_P2" sheetId="4" state="visible" r:id="rId6"/>
    <sheet name="A_P3" sheetId="5" state="visible" r:id="rId7"/>
    <sheet name="A_P4" sheetId="6" state="visible" r:id="rId8"/>
    <sheet name="B · Moyens communs" sheetId="7" state="visible" r:id="rId9"/>
    <sheet name="C · Fonctionnement" sheetId="8" state="visible" r:id="rId10"/>
    <sheet name="Res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<sst xmlns="http://schemas.openxmlformats.org/spreadsheetml/2006/main" count="328" uniqueCount="161">
  <si>
    <t xml:space="preserve">BUDGET PLURIANNUEL DU FONDS DE DOTATION</t>
  </si>
  <si>
    <t xml:space="preserve">Trois exercices pleins — 2027, 2028 et 2029 — précédés de l'exercice de constitution 2026.</t>
  </si>
  <si>
    <t xml:space="preserve">Poste</t>
  </si>
  <si>
    <t xml:space="preserve">2026</t>
  </si>
  <si>
    <t xml:space="preserve">2027</t>
  </si>
  <si>
    <t xml:space="preserve">2028</t>
  </si>
  <si>
    <t xml:space="preserve">2029</t>
  </si>
  <si>
    <t xml:space="preserve">Total 3 ans
2027-2029</t>
  </si>
  <si>
    <t xml:space="preserve">Total période
2026-2029</t>
  </si>
  <si>
    <t xml:space="preserve">RESSOURCES</t>
  </si>
  <si>
    <t xml:space="preserve">   Ressources mobilisables — total</t>
  </si>
  <si>
    <t xml:space="preserve">   dont mécénat d'entreprise — trois levées</t>
  </si>
  <si>
    <t xml:space="preserve">   dont revenus de la dotation</t>
  </si>
  <si>
    <t xml:space="preserve">TOTAL DES RESSOURCES MOBILISABLES</t>
  </si>
  <si>
    <t xml:space="preserve">EMPLOIS</t>
  </si>
  <si>
    <t xml:space="preserve">   P1 — CONNAÎTRE ET SUIVRE LES MILIEUX MARINS</t>
  </si>
  <si>
    <t xml:space="preserve">   P2 — RESTAURATION DES ÉCOSYSTÈMES</t>
  </si>
  <si>
    <t xml:space="preserve">   P3 — DÉPOLLUTION DES MILIEUX</t>
  </si>
  <si>
    <t xml:space="preserve">   P4 — MODERNISATION DE LA FILIÈRE PÊCHE</t>
  </si>
  <si>
    <t xml:space="preserve">A — Enveloppes de programme</t>
  </si>
  <si>
    <t xml:space="preserve">   B — Moyens communs</t>
  </si>
  <si>
    <t xml:space="preserve">   C — Frais de fonctionnement</t>
  </si>
  <si>
    <t xml:space="preserve">TOTAL DES EMPLOIS  (A + B + C)</t>
  </si>
  <si>
    <t xml:space="preserve">ÉQUILIBRE</t>
  </si>
  <si>
    <t xml:space="preserve">Résultat de l'exercice</t>
  </si>
  <si>
    <t xml:space="preserve">Réserve non affectée, cumulée en fin d'exercice</t>
  </si>
  <si>
    <t xml:space="preserve">Alerte</t>
  </si>
  <si>
    <t xml:space="preserve">DOTATION NON CONSOMPTIBLE — HORS BUDGET D'EMPLOIS</t>
  </si>
  <si>
    <t xml:space="preserve">   Versements à la dotation</t>
  </si>
  <si>
    <t xml:space="preserve">POUR MÉMOIRE — HORS BUDGET DU FONDS</t>
  </si>
  <si>
    <t xml:space="preserve">   Subventions publiques portées par l'association (80 % de l'assiette éligible)</t>
  </si>
  <si>
    <t xml:space="preserve">   Refacturations reçues par l'association (fonds : 0,20 ETP et moyens matériels ; Mare Services : 0,20 ETP)</t>
  </si>
  <si>
    <t xml:space="preserve">   Montants reversés aux professionnels via Mare Services</t>
  </si>
  <si>
    <t xml:space="preserve">Les lignes de ressources et d'emplois sont des reports. Seules les trois lignes « pour mémoire » sont saisies ici.</t>
  </si>
  <si>
    <t xml:space="preserve">BUDGET GLOBAL DU FONDS — VUE RESSOURCES / EMPLOIS</t>
  </si>
  <si>
    <t xml:space="preserve">Vue détaillée par canal de collecte. Reprend les onglets Ressources, A_P1 à A_P4, B et C.</t>
  </si>
  <si>
    <t xml:space="preserve">Source / commentaire</t>
  </si>
  <si>
    <t xml:space="preserve">   Dotation initiale — capital non consomptible</t>
  </si>
  <si>
    <t xml:space="preserve">Non mobilisable : ne finance aucun emploi.</t>
  </si>
  <si>
    <t xml:space="preserve">   Revenus de la dotation — produits de placement</t>
  </si>
  <si>
    <t xml:space="preserve">Rendement de 2 % sur le capital placé.</t>
  </si>
  <si>
    <t xml:space="preserve">   Mécénat d'entreprise — levée 1 (amorçage)</t>
  </si>
  <si>
    <t xml:space="preserve">Encaissée au T4 2026.</t>
  </si>
  <si>
    <t xml:space="preserve">   Mécénat d'entreprise — levée 2 (programmes)</t>
  </si>
  <si>
    <t xml:space="preserve">Encaissée au T1 2027.</t>
  </si>
  <si>
    <t xml:space="preserve">   Mécénat d'entreprise — levée 3 (chalutier)</t>
  </si>
  <si>
    <t xml:space="preserve">Encaissée au T2 2028.</t>
  </si>
  <si>
    <t xml:space="preserve">   Dons en numéraire non affectés</t>
  </si>
  <si>
    <t xml:space="preserve">   Dons en numéraire affectés à un programme</t>
  </si>
  <si>
    <t xml:space="preserve">   Mécénat en nature</t>
  </si>
  <si>
    <t xml:space="preserve">   Mécénat de compétences</t>
  </si>
  <si>
    <t xml:space="preserve">   Générosité du public</t>
  </si>
  <si>
    <t xml:space="preserve">Sous réserve de la déclaration préfectorale.</t>
  </si>
  <si>
    <t xml:space="preserve">   Financement participatif</t>
  </si>
  <si>
    <t xml:space="preserve">   Dons individuels et prélèvements réguliers</t>
  </si>
  <si>
    <t xml:space="preserve">   Collecte événementielle et de filière</t>
  </si>
  <si>
    <t xml:space="preserve">   Micro-dons</t>
  </si>
  <si>
    <t xml:space="preserve">   Libéralités — donations et legs</t>
  </si>
  <si>
    <t xml:space="preserve">   Quote-part de frais de gestion sur les dons affectés</t>
  </si>
  <si>
    <t xml:space="preserve">Non négociée à ce jour.</t>
  </si>
  <si>
    <t xml:space="preserve">   Recettes reversées par les structures</t>
  </si>
  <si>
    <t xml:space="preserve">Aucun revenu anticipé sur la période.</t>
  </si>
  <si>
    <t xml:space="preserve">Total des ressources</t>
  </si>
  <si>
    <t xml:space="preserve">dont ressources mobilisables — hors dotation</t>
  </si>
  <si>
    <t xml:space="preserve">EMPLOIS — A. ENVELOPPES DE PROGRAMME</t>
  </si>
  <si>
    <t xml:space="preserve">A — Total des enveloppes de programme</t>
  </si>
  <si>
    <t xml:space="preserve">EMPLOIS — B. MOYENS COMMUNS</t>
  </si>
  <si>
    <t xml:space="preserve">   B — Total des moyens communs</t>
  </si>
  <si>
    <t xml:space="preserve">EMPLOIS — C. FRAIS DE FONCTIONNEMENT</t>
  </si>
  <si>
    <t xml:space="preserve">   C — Total des frais de fonctionnement</t>
  </si>
  <si>
    <t xml:space="preserve">Total des emplois — A + B + C</t>
  </si>
  <si>
    <t xml:space="preserve">Calculé sur les ressources mobilisables : la dotation non consomptible en est exclue.</t>
  </si>
  <si>
    <t xml:space="preserve">   Subventions publiques portées par l'association</t>
  </si>
  <si>
    <t xml:space="preserve">P1 — CONNAÎTRE ET SUIVRE LES MILIEUX MARINS</t>
  </si>
  <si>
    <t xml:space="preserve">Budget du programme — ressources, emplois par voie d'intervention, revenus réinjectables.</t>
  </si>
  <si>
    <t xml:space="preserve">Le programme dote la structure de valorisation des données ; la part conservée par la plateforme lui est réaffectée.</t>
  </si>
  <si>
    <t xml:space="preserve">RESSOURCES DU PROGRAMME</t>
  </si>
  <si>
    <t xml:space="preserve">   Produits financiers de la dotation affectés au programme</t>
  </si>
  <si>
    <t xml:space="preserve">La dotation est non consomptible : seuls ses produits peuvent être affectés.</t>
  </si>
  <si>
    <t xml:space="preserve">   Revenus des structures et start-up du programme</t>
  </si>
  <si>
    <t xml:space="preserve">Redevances, licences, dividendes, produits de cession. Aucun revenu anticipé sur 2026-2029.</t>
  </si>
  <si>
    <t xml:space="preserve">   Quote-part reversée par la plateforme de services</t>
  </si>
  <si>
    <t xml:space="preserve">Solde de la commission de 20 % après couverture des charges de la plateforme.</t>
  </si>
  <si>
    <t xml:space="preserve">   Report du solde de l'exercice précédent — réinjection</t>
  </si>
  <si>
    <t xml:space="preserve">Réserve non consommée de l'exercice précédent, réinjectée dans le programme.</t>
  </si>
  <si>
    <t xml:space="preserve">   Mécénat et dons affectés au programme — besoin de collecte</t>
  </si>
  <si>
    <t xml:space="preserve">Calculé : ce qu'il reste à lever pour le programme une fois les autres ressources déduites.</t>
  </si>
  <si>
    <t xml:space="preserve">TOTAL DES RESSOURCES</t>
  </si>
  <si>
    <t xml:space="preserve">EMPLOIS — VOIE REDISTRIBUTEUR</t>
  </si>
  <si>
    <t xml:space="preserve">   Cocktail chimique du Rhône — subvention au porteur</t>
  </si>
  <si>
    <t xml:space="preserve">3 × 150 000 € (T2 2027, 2028, 2029). Voie redistributeur : projet conduit par un tiers.</t>
  </si>
  <si>
    <t xml:space="preserve">   Subvention à un tiers porteur — à renseigner</t>
  </si>
  <si>
    <t xml:space="preserve">   Prises de participation minoritaires</t>
  </si>
  <si>
    <t xml:space="preserve">À vérifier avec Fidal : une prise de participation n'est pas une redistribution au sens de l'article 140.</t>
  </si>
  <si>
    <t xml:space="preserve">Sous-total voie redistributeur</t>
  </si>
  <si>
    <t xml:space="preserve">EMPLOIS — VOIE OPÉRATEUR</t>
  </si>
  <si>
    <t xml:space="preserve">   Commande de prestation sur cahier des charges — à renseigner</t>
  </si>
  <si>
    <t xml:space="preserve">   Création de société et participation majoritaire</t>
  </si>
  <si>
    <t xml:space="preserve">   Achats d'équipements au titre du programme</t>
  </si>
  <si>
    <t xml:space="preserve">Acquis par le fonds puis transférés à la structure de détention du matériel.</t>
  </si>
  <si>
    <t xml:space="preserve">Sous-total voie opérateur</t>
  </si>
  <si>
    <t xml:space="preserve">TOTAL DES EMPLOIS DU PROGRAMME</t>
  </si>
  <si>
    <t xml:space="preserve">Solde de l'exercice</t>
  </si>
  <si>
    <t xml:space="preserve">Positif : ressources non consommées, réinjectées l'exercice suivant.</t>
  </si>
  <si>
    <t xml:space="preserve">Enveloppe de référence du programme</t>
  </si>
  <si>
    <t xml:space="preserve">Écart entre l'enveloppe et les engagements datés</t>
  </si>
  <si>
    <t xml:space="preserve">P2 — RESTAURATION DES ÉCOSYSTÈMES</t>
  </si>
  <si>
    <t xml:space="preserve">Volet A co-gestion d'AMP (pêcheur prestataire, prélèvement de 20 %) et volet B récifs portés par une start-up.</t>
  </si>
  <si>
    <t xml:space="preserve">   Fishwind — subvention au porteur</t>
  </si>
  <si>
    <t xml:space="preserve">   Fishwind — prise de participation start-up</t>
  </si>
  <si>
    <t xml:space="preserve">P3 — DÉPOLLUTION DES MILIEUX</t>
  </si>
  <si>
    <t xml:space="preserve">Rémunération de la flotte pour le plastique remonté. Commande passée par le fonds, exécutée par les professionnels.</t>
  </si>
  <si>
    <t xml:space="preserve">   Mare Collect — rémunération des professionnels, sur cahier des charges</t>
  </si>
  <si>
    <t xml:space="preserve">4 × 43 000 € (T4 2026, 2027, 2028, 2029). Voie opérateur : commande de prestation via Mare Services.</t>
  </si>
  <si>
    <t xml:space="preserve">P4 — MODERNISATION DE LA FILIÈRE PÊCHE</t>
  </si>
  <si>
    <t xml:space="preserve">Volet A navires (Mare Nova) et volet B engins sélectifs (SmartSnap).</t>
  </si>
  <si>
    <t xml:space="preserve">   SmartSnap — subvention au porteur (CNRS, Ifremer)</t>
  </si>
  <si>
    <t xml:space="preserve">   Construction du chalutier — subvention au porteur</t>
  </si>
  <si>
    <t xml:space="preserve">   Étude de conception du chalutier — commande de prestation</t>
  </si>
  <si>
    <t xml:space="preserve">BLOC B — ENVELOPPE DE MOYENS COMMUNS</t>
  </si>
  <si>
    <t xml:space="preserve">Ce qui sert l'ensemble des programmes sans pouvoir être rattaché à l'un d'eux.</t>
  </si>
  <si>
    <t xml:space="preserve">Deux natures de dépense : l'apport de démarrage des structures économiques, et le reste à charge de la part non publique du budget de l'association Mare Durabilis, versé par le fonds une fois déduits le financement public (80 % de l’assiette éligible), les refacturations et l'autofinancement de l'association (1 %).</t>
  </si>
  <si>
    <t xml:space="preserve">POSTES</t>
  </si>
  <si>
    <t xml:space="preserve">   B.1 · Plateforme Mare Services</t>
  </si>
  <si>
    <t xml:space="preserve">Aucune charge en 2026 (plateforme créée en 2027). La commission de 20 % (7 120 €) ne couvre pas les charges : outils 600 €/an  Stripe 33 €/an (pesca-tourisme seulement)  refacturation par l'association de 0 20 ETP et de 20 % des moyens matériels  constitution 400 € en 2027. Le fonds couvre le déficit : 919 €  6 636 €  6 882 €.</t>
  </si>
  <si>
    <t xml:space="preserve">   B.2 · Structure de détention du matériel</t>
  </si>
  <si>
    <t xml:space="preserve">Apport de démarrage 2 120 €. Aucun achat d'équipement prévu.</t>
  </si>
  <si>
    <t xml:space="preserve">   B.3 · Reste à charge de la part non publique — association Mare Durabilis</t>
  </si>
  <si>
    <t xml:space="preserve">Reste à charge de l'association après financement public (80 % de l'assiette éligible FEAMPA), refacturations et autofinancement (1 %), y compris les intérêts non éligibles de l'avance de trésorerie. Repris du budget de fonctionnement ASSO.</t>
  </si>
  <si>
    <t xml:space="preserve">B — TOTAL DES MOYENS COMMUNS</t>
  </si>
  <si>
    <t xml:space="preserve">Moyens communs portés à 73 430 € sur la période : apport de démarrage de la structure de détention du matériel, déficit d'exploitation de Mare Services et reste à charge de l'association. Ressources allouées par le conseil, provenant de la même source que les frais de fonctionnement et les enveloppes de programme : les levées de mécénat non affecté.</t>
  </si>
  <si>
    <t xml:space="preserve">BLOC C — FRAIS DE FONCTIONNEMENT DU FONDS</t>
  </si>
  <si>
    <t xml:space="preserve">Distinct du budget de gouvernance porté par l'association.</t>
  </si>
  <si>
    <t xml:space="preserve">   Quote-part du chef de projet refacturée par l'association</t>
  </si>
  <si>
    <t xml:space="preserve">20 % du coût complet du chef de projet : salaire chargé (base 55 000 € en 2026, revalorisation de 2 %/an), mutuelle et prévoyance.</t>
  </si>
  <si>
    <t xml:space="preserve">   Honoraires du commissaire aux comptes</t>
  </si>
  <si>
    <t xml:space="preserve">Obligatoire dès 10 000 € de ressources.</t>
  </si>
  <si>
    <t xml:space="preserve">   Expertise comptable et tenue des comptes</t>
  </si>
  <si>
    <t xml:space="preserve">   Honoraires juridiques et fiscaux propres au fonds</t>
  </si>
  <si>
    <t xml:space="preserve">   Frais bancaires et gestion des placements</t>
  </si>
  <si>
    <t xml:space="preserve">À compter de la création du fonds.</t>
  </si>
  <si>
    <t xml:space="preserve">   Frais de recherche de fonds</t>
  </si>
  <si>
    <t xml:space="preserve">   Quote-part des moyens matériels refacturée par l'association</t>
  </si>
  <si>
    <t xml:space="preserve">20 % des charges locatives, multirisque, télécommunications et fournitures courantes de l'association (hors locaux et mobilier, portés par le fonds).</t>
  </si>
  <si>
    <t xml:space="preserve">   Locaux mis à disposition de l'association (loyer, TEOM, charges)</t>
  </si>
  <si>
    <t xml:space="preserve">Bail porté par le fonds (700 €/mois, plus TEOM et charges) ; bureau mis à disposition de l'association par convention. Hors assiette FEAMPA (coût indirect couvert par le forfait de 15 %).</t>
  </si>
  <si>
    <t xml:space="preserve">   Mobilier de première installation</t>
  </si>
  <si>
    <t xml:space="preserve">Bureau, sièges, rangements. Acquis par le fonds et mis à disposition.</t>
  </si>
  <si>
    <t xml:space="preserve">   Frais de représentation (réceptions de partenaires et de mécènes)</t>
  </si>
  <si>
    <t xml:space="preserve">Transféré du budget de l'association : non éligible au FEAMPA. Réceptions organisées au nom du fonds, sur ses ressources privées.</t>
  </si>
  <si>
    <t xml:space="preserve">C — TOTAL DES FRAIS DE FONCTIONNEMENT</t>
  </si>
  <si>
    <t xml:space="preserve">Frais de fonctionnement portés à 156 085 € sur la période, dont les locaux et le mobilier mis à disposition de l'association et les frais de représentation. Deux lignes sont refacturées par l'association — le temps du chef de projet et les moyens matériels.</t>
  </si>
  <si>
    <t xml:space="preserve">RESSOURCES DU FONDS</t>
  </si>
  <si>
    <t xml:space="preserve">Circuit privé uniquement. Aucune ressource publique ne peut entrer dans le fonds de dotation.</t>
  </si>
  <si>
    <t xml:space="preserve">DOTATION NON CONSOMPTIBLE — NON MOBILISABLE</t>
  </si>
  <si>
    <t xml:space="preserve">   Capital de dotation en fin d'exercice</t>
  </si>
  <si>
    <t xml:space="preserve">—</t>
  </si>
  <si>
    <t xml:space="preserve">RESSOURCES MOBILISABLES</t>
  </si>
  <si>
    <t xml:space="preserve">   Mécénat d'entreprise — levée 1 (amorçage : Mare Collect 2026, étude de conception, blocs B et C 2026-2027)</t>
  </si>
  <si>
    <t xml:space="preserve">   Mécénat d'entreprise — levée 2 (amorçage des programmes ; Mare Collect 2027-2029 ; blocs B et C 2028-2029)</t>
  </si>
  <si>
    <t xml:space="preserve">   Mécénat d'entreprise — levée 3 (chalutier et fin de période)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</si>
</sst>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&quot; €&quot;;\(#,##0&quot; €)&quot;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56B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6256B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256B"/>
        <bgColor rgb="FF333399"/>
      </patternFill>
    </fill>
    <fill>
      <patternFill patternType="solid">
        <fgColor rgb="FFEEF1F8"/>
        <bgColor rgb="FFE3F2F1"/>
      </patternFill>
    </fill>
    <fill>
      <patternFill patternType="solid">
        <fgColor rgb="FFE3F2F1"/>
        <bgColor rgb="FFEEF1F8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8"/>
      <rgbColor rgb="FFE3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625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K11" activeCellId="0" sqref="K1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</row>
    <row r="6" customFormat="false" ht="15" hidden="false" customHeight="true" outlineLevel="0" collapsed="false">
      <c r="A6" s="7" t="s">
        <v>9</v>
      </c>
      <c r="B6" s="8"/>
      <c r="C6" s="8"/>
      <c r="D6" s="8"/>
      <c r="E6" s="8"/>
      <c r="F6" s="8"/>
      <c r="G6" s="8"/>
    </row>
    <row r="7" customFormat="false" ht="15" hidden="false" customHeight="true" outlineLevel="0" collapsed="false">
      <c r="A7" s="9" t="s">
        <v>10</v>
      </c>
      <c r="B7" s="10" t="n">
        <f aca="false">Ressources!B27</f>
        <v>157527.72</v>
      </c>
      <c r="C7" s="10" t="n">
        <f aca="false">Ressources!C27</f>
        <v>1568060.69</v>
      </c>
      <c r="D7" s="10" t="n">
        <f aca="false">Ressources!D27</f>
        <v>2217400</v>
      </c>
      <c r="E7" s="10" t="n">
        <f aca="false">Ressources!E27</f>
        <v>900</v>
      </c>
      <c r="F7" s="11" t="n">
        <f aca="false">SUM(C7:E7)</f>
        <v>3786360.69</v>
      </c>
      <c r="G7" s="11" t="n">
        <f aca="false">SUM(B7:E7)</f>
        <v>3943888.41</v>
      </c>
    </row>
    <row r="8" customFormat="false" ht="15" hidden="false" customHeight="true" outlineLevel="0" collapsed="false">
      <c r="A8" s="9" t="s">
        <v>11</v>
      </c>
      <c r="B8" s="10" t="n">
        <f aca="false">Ressources!B12+Ressources!B13+Ressources!B14</f>
        <v>157452.72</v>
      </c>
      <c r="C8" s="10" t="n">
        <f aca="false">Ressources!C12+Ressources!C13+Ressources!C14</f>
        <v>1567535.69</v>
      </c>
      <c r="D8" s="10" t="n">
        <f aca="false">Ressources!D12+Ressources!D13+Ressources!D14</f>
        <v>2216500</v>
      </c>
      <c r="E8" s="10" t="n">
        <f aca="false">Ressources!E12+Ressources!E13+Ressources!E14</f>
        <v>0</v>
      </c>
      <c r="F8" s="11" t="n">
        <f aca="false">SUM(C8:E8)</f>
        <v>3784035.69</v>
      </c>
      <c r="G8" s="11" t="n">
        <f aca="false">SUM(B8:E8)</f>
        <v>3941488.41</v>
      </c>
    </row>
    <row r="9" customFormat="false" ht="15" hidden="false" customHeight="true" outlineLevel="0" collapsed="false">
      <c r="A9" s="9" t="s">
        <v>12</v>
      </c>
      <c r="B9" s="10" t="n">
        <f aca="false">Ressources!B11</f>
        <v>75</v>
      </c>
      <c r="C9" s="10" t="n">
        <f aca="false">Ressources!C11</f>
        <v>525</v>
      </c>
      <c r="D9" s="10" t="n">
        <f aca="false">Ressources!D11</f>
        <v>900</v>
      </c>
      <c r="E9" s="10" t="n">
        <f aca="false">Ressources!E11</f>
        <v>900</v>
      </c>
      <c r="F9" s="11" t="n">
        <f aca="false">SUM(C9:E9)</f>
        <v>2325</v>
      </c>
      <c r="G9" s="11" t="n">
        <f aca="false">SUM(B9:E9)</f>
        <v>2400</v>
      </c>
    </row>
    <row r="10" customFormat="false" ht="15" hidden="false" customHeight="true" outlineLevel="0" collapsed="false">
      <c r="A10" s="12" t="s">
        <v>13</v>
      </c>
      <c r="B10" s="13" t="n">
        <f aca="false">B7</f>
        <v>157527.72</v>
      </c>
      <c r="C10" s="13" t="n">
        <f aca="false">C7</f>
        <v>1568060.69</v>
      </c>
      <c r="D10" s="13" t="n">
        <f aca="false">D7</f>
        <v>2217400</v>
      </c>
      <c r="E10" s="13" t="n">
        <f aca="false">E7</f>
        <v>900</v>
      </c>
      <c r="F10" s="14" t="n">
        <f aca="false">SUM(C10:E10)</f>
        <v>3786360.69</v>
      </c>
      <c r="G10" s="14" t="n">
        <f aca="false">SUM(B10:E10)</f>
        <v>3943888.41</v>
      </c>
    </row>
    <row r="12" customFormat="false" ht="15" hidden="false" customHeight="true" outlineLevel="0" collapsed="false">
      <c r="A12" s="7" t="s">
        <v>14</v>
      </c>
      <c r="B12" s="8"/>
      <c r="C12" s="8"/>
      <c r="D12" s="8"/>
      <c r="E12" s="8"/>
      <c r="F12" s="8"/>
      <c r="G12" s="8"/>
    </row>
    <row r="13" customFormat="false" ht="15" hidden="false" customHeight="true" outlineLevel="0" collapsed="false">
      <c r="A13" s="9" t="s">
        <v>15</v>
      </c>
      <c r="B13" s="10" t="n">
        <f aca="false">A_P1!B28</f>
        <v>0</v>
      </c>
      <c r="C13" s="10" t="n">
        <f aca="false">A_P1!C28</f>
        <v>150000</v>
      </c>
      <c r="D13" s="10" t="n">
        <f aca="false">A_P1!D28</f>
        <v>150000</v>
      </c>
      <c r="E13" s="10" t="n">
        <f aca="false">A_P1!E28</f>
        <v>150000</v>
      </c>
      <c r="F13" s="11" t="n">
        <f aca="false">SUM(C13:E13)</f>
        <v>450000</v>
      </c>
      <c r="G13" s="11" t="n">
        <f aca="false">SUM(B13:E13)</f>
        <v>450000</v>
      </c>
    </row>
    <row r="14" customFormat="false" ht="15" hidden="false" customHeight="true" outlineLevel="0" collapsed="false">
      <c r="A14" s="9" t="s">
        <v>16</v>
      </c>
      <c r="B14" s="10" t="n">
        <f aca="false">A_P2!B28</f>
        <v>0</v>
      </c>
      <c r="C14" s="10" t="n">
        <f aca="false">A_P2!C28</f>
        <v>800000</v>
      </c>
      <c r="D14" s="10" t="n">
        <f aca="false">A_P2!D28</f>
        <v>0</v>
      </c>
      <c r="E14" s="10" t="n">
        <f aca="false">A_P2!E28</f>
        <v>0</v>
      </c>
      <c r="F14" s="11" t="n">
        <f aca="false">SUM(C14:E14)</f>
        <v>800000</v>
      </c>
      <c r="G14" s="11" t="n">
        <f aca="false">SUM(B14:E14)</f>
        <v>800000</v>
      </c>
    </row>
    <row r="15" customFormat="false" ht="15" hidden="false" customHeight="true" outlineLevel="0" collapsed="false">
      <c r="A15" s="9" t="s">
        <v>17</v>
      </c>
      <c r="B15" s="10" t="n">
        <f aca="false">A_P3!B28</f>
        <v>43000</v>
      </c>
      <c r="C15" s="10" t="n">
        <f aca="false">A_P3!C28</f>
        <v>43000</v>
      </c>
      <c r="D15" s="10" t="n">
        <f aca="false">A_P3!D28</f>
        <v>43000</v>
      </c>
      <c r="E15" s="10" t="n">
        <f aca="false">A_P3!E28</f>
        <v>43000</v>
      </c>
      <c r="F15" s="11" t="n">
        <f aca="false">SUM(C15:E15)</f>
        <v>129000</v>
      </c>
      <c r="G15" s="11" t="n">
        <f aca="false">SUM(B15:E15)</f>
        <v>172000</v>
      </c>
    </row>
    <row r="16" customFormat="false" ht="15" hidden="false" customHeight="true" outlineLevel="0" collapsed="false">
      <c r="A16" s="9" t="s">
        <v>18</v>
      </c>
      <c r="B16" s="10" t="n">
        <f aca="false">A_P4!B28</f>
        <v>70000</v>
      </c>
      <c r="C16" s="10" t="n">
        <f aca="false">A_P4!C28</f>
        <v>108350</v>
      </c>
      <c r="D16" s="10" t="n">
        <f aca="false">A_P4!D28</f>
        <v>2048350</v>
      </c>
      <c r="E16" s="10" t="n">
        <f aca="false">A_P4!E28</f>
        <v>67850</v>
      </c>
      <c r="F16" s="11" t="n">
        <f aca="false">SUM(C16:E16)</f>
        <v>2224550</v>
      </c>
      <c r="G16" s="11" t="n">
        <f aca="false">SUM(B16:E16)</f>
        <v>2294550</v>
      </c>
    </row>
    <row r="17" customFormat="false" ht="15" hidden="false" customHeight="true" outlineLevel="0" collapsed="false">
      <c r="A17" s="12" t="s">
        <v>19</v>
      </c>
      <c r="B17" s="13" t="n">
        <f aca="false">SUM(B13:B16)</f>
        <v>113000</v>
      </c>
      <c r="C17" s="13" t="n">
        <f aca="false">SUM(C13:C16)</f>
        <v>1101350</v>
      </c>
      <c r="D17" s="13" t="n">
        <f aca="false">SUM(D13:D16)</f>
        <v>2241350</v>
      </c>
      <c r="E17" s="13" t="n">
        <f aca="false">SUM(E13:E16)</f>
        <v>260850</v>
      </c>
      <c r="F17" s="14" t="n">
        <f aca="false">SUM(C17:E17)</f>
        <v>3603550</v>
      </c>
      <c r="G17" s="14" t="n">
        <f aca="false">SUM(B17:E17)</f>
        <v>3716550</v>
      </c>
    </row>
    <row r="18" customFormat="false" ht="15" hidden="false" customHeight="true" outlineLevel="0" collapsed="false">
      <c r="A18" s="9" t="s">
        <v>20</v>
      </c>
      <c r="B18" s="10" t="n">
        <f aca="false">'B · Moyens communs'!B10</f>
        <v>2120</v>
      </c>
      <c r="C18" s="10" t="n">
        <f aca="false">'B · Moyens communs'!C10</f>
        <v>9707.23</v>
      </c>
      <c r="D18" s="10" t="n">
        <f aca="false">'B · Moyens communs'!D10</f>
        <v>25663.52</v>
      </c>
      <c r="E18" s="10" t="n">
        <f aca="false">'B · Moyens communs'!E10</f>
        <v>35216.28</v>
      </c>
      <c r="F18" s="11" t="n">
        <f aca="false">SUM(C18:E18)</f>
        <v>70587.03</v>
      </c>
      <c r="G18" s="11" t="n">
        <f aca="false">SUM(B18:E18)</f>
        <v>72707.03</v>
      </c>
    </row>
    <row r="19" customFormat="false" ht="15" hidden="false" customHeight="true" outlineLevel="0" collapsed="false">
      <c r="A19" s="9" t="s">
        <v>21</v>
      </c>
      <c r="B19" s="10" t="n">
        <f aca="false">'C · Fonctionnement'!B17</f>
        <v>300</v>
      </c>
      <c r="C19" s="10" t="n">
        <f aca="false">'C · Fonctionnement'!C17</f>
        <v>32325.49</v>
      </c>
      <c r="D19" s="10" t="n">
        <f aca="false">'C · Fonctionnement'!D17</f>
        <v>59875.72</v>
      </c>
      <c r="E19" s="10" t="n">
        <f aca="false">'C · Fonctionnement'!E17</f>
        <v>62130.17</v>
      </c>
      <c r="F19" s="11" t="n">
        <f aca="false">SUM(C19:E19)</f>
        <v>154331.38</v>
      </c>
      <c r="G19" s="11" t="n">
        <f aca="false">SUM(B19:E19)</f>
        <v>154631.38</v>
      </c>
    </row>
    <row r="20" customFormat="false" ht="15" hidden="false" customHeight="true" outlineLevel="0" collapsed="false">
      <c r="A20" s="15" t="s">
        <v>22</v>
      </c>
      <c r="B20" s="16" t="n">
        <f aca="false">B17+B18+B19</f>
        <v>115420</v>
      </c>
      <c r="C20" s="16" t="n">
        <f aca="false">C17+C18+C19</f>
        <v>1143382.72</v>
      </c>
      <c r="D20" s="16" t="n">
        <f aca="false">D17+D18+D19</f>
        <v>2326889.24</v>
      </c>
      <c r="E20" s="16" t="n">
        <f aca="false">E17+E18+E19</f>
        <v>358196.45</v>
      </c>
      <c r="F20" s="17" t="n">
        <f aca="false">SUM(C20:E20)</f>
        <v>3828468.41</v>
      </c>
      <c r="G20" s="17" t="n">
        <f aca="false">SUM(B20:E20)</f>
        <v>3943888.41</v>
      </c>
    </row>
    <row r="22" customFormat="false" ht="15" hidden="false" customHeight="true" outlineLevel="0" collapsed="false">
      <c r="A22" s="7" t="s">
        <v>23</v>
      </c>
      <c r="B22" s="8"/>
      <c r="C22" s="8"/>
      <c r="D22" s="8"/>
      <c r="E22" s="8"/>
      <c r="F22" s="8"/>
      <c r="G22" s="8"/>
    </row>
    <row r="23" customFormat="false" ht="15" hidden="false" customHeight="true" outlineLevel="0" collapsed="false">
      <c r="A23" s="12" t="s">
        <v>24</v>
      </c>
      <c r="B23" s="13" t="n">
        <f aca="false">B10-B20</f>
        <v>42107.72</v>
      </c>
      <c r="C23" s="13" t="n">
        <f aca="false">C10-C20</f>
        <v>424677.97</v>
      </c>
      <c r="D23" s="13" t="n">
        <f aca="false">D10-D20</f>
        <v>-109489.24</v>
      </c>
      <c r="E23" s="13" t="n">
        <f aca="false">E10-E20</f>
        <v>-357296.45</v>
      </c>
      <c r="F23" s="14" t="n">
        <f aca="false">SUM(C23:E23)</f>
        <v>-42107.7200000003</v>
      </c>
      <c r="G23" s="14" t="n">
        <f aca="false">SUM(B23:E23)</f>
        <v>0</v>
      </c>
    </row>
    <row r="24" customFormat="false" ht="15" hidden="false" customHeight="true" outlineLevel="0" collapsed="false">
      <c r="A24" s="12" t="s">
        <v>25</v>
      </c>
      <c r="B24" s="14" t="n">
        <f aca="false">B23</f>
        <v>42107.72</v>
      </c>
      <c r="C24" s="14" t="n">
        <f aca="false">B24+C23</f>
        <v>466785.69</v>
      </c>
      <c r="D24" s="14" t="n">
        <f aca="false">C24+D23</f>
        <v>357296.45</v>
      </c>
      <c r="E24" s="14" t="n">
        <f aca="false">D24+E23</f>
        <v>0</v>
      </c>
    </row>
    <row r="25" customFormat="false" ht="15" hidden="false" customHeight="true" outlineLevel="0" collapsed="false">
      <c r="A25" s="9" t="s">
        <v>26</v>
      </c>
      <c r="B25" s="18" t="str">
        <f aca="false">IF(B24&lt;0,"NON COUVERT","ok")</f>
        <v>ok</v>
      </c>
      <c r="C25" s="18" t="str">
        <f aca="false">IF(C24&lt;0,"NON COUVERT","ok")</f>
        <v>ok</v>
      </c>
      <c r="D25" s="18" t="str">
        <f aca="false">IF(D24&lt;0,"NON COUVERT","ok")</f>
        <v>ok</v>
      </c>
      <c r="E25" s="18" t="str">
        <f aca="false">IF(E24&lt;0,"NON COUVERT","ok")</f>
        <v>ok</v>
      </c>
    </row>
    <row r="27" customFormat="false" ht="15" hidden="false" customHeight="true" outlineLevel="0" collapsed="false">
      <c r="A27" s="7" t="s">
        <v>27</v>
      </c>
      <c r="B27" s="8"/>
      <c r="C27" s="8"/>
      <c r="D27" s="8"/>
      <c r="E27" s="8"/>
      <c r="F27" s="8"/>
      <c r="G27" s="8"/>
    </row>
    <row r="28" customFormat="false" ht="15" hidden="false" customHeight="true" outlineLevel="0" collapsed="false">
      <c r="A28" s="9" t="s">
        <v>28</v>
      </c>
      <c r="B28" s="10" t="n">
        <f aca="false">Ressources!B7</f>
        <v>15000</v>
      </c>
      <c r="C28" s="10" t="n">
        <f aca="false">Ressources!C7</f>
        <v>30000</v>
      </c>
      <c r="D28" s="10" t="n">
        <f aca="false">Ressources!D7</f>
        <v>0</v>
      </c>
      <c r="E28" s="10" t="n">
        <f aca="false">Ressources!E7</f>
        <v>0</v>
      </c>
      <c r="F28" s="11" t="n">
        <f aca="false">SUM(C28:E28)</f>
        <v>30000</v>
      </c>
      <c r="G28" s="11" t="n">
        <f aca="false">SUM(B28:E28)</f>
        <v>45000</v>
      </c>
    </row>
    <row r="30" customFormat="false" ht="15" hidden="false" customHeight="true" outlineLevel="0" collapsed="false">
      <c r="A30" s="7" t="s">
        <v>29</v>
      </c>
      <c r="B30" s="8"/>
      <c r="C30" s="8"/>
      <c r="D30" s="8"/>
      <c r="E30" s="8"/>
      <c r="F30" s="8"/>
      <c r="G30" s="8"/>
    </row>
    <row r="31" customFormat="false" ht="15" hidden="false" customHeight="true" outlineLevel="0" collapsed="false">
      <c r="A31" s="9" t="s">
        <v>30</v>
      </c>
      <c r="B31" s="19" t="n">
        <v>0</v>
      </c>
      <c r="C31" s="19" t="n">
        <v>29607.11</v>
      </c>
      <c r="D31" s="19" t="n">
        <v>55110.94</v>
      </c>
      <c r="E31" s="19" t="n">
        <v>55804.3</v>
      </c>
      <c r="F31" s="11" t="n">
        <f aca="false">SUM(C31:E31)</f>
        <v>140522.35</v>
      </c>
      <c r="G31" s="11" t="n">
        <f aca="false">SUM(B31:E31)</f>
        <v>140522.35</v>
      </c>
    </row>
    <row r="32" customFormat="false" ht="15" hidden="false" customHeight="true" outlineLevel="0" collapsed="false">
      <c r="A32" s="9" t="s">
        <v>31</v>
      </c>
      <c r="B32" s="19" t="n">
        <v>0</v>
      </c>
      <c r="C32" s="19" t="n">
        <v>12550.98</v>
      </c>
      <c r="D32" s="19" t="n">
        <v>25527.44</v>
      </c>
      <c r="E32" s="19" t="n">
        <v>26008.34</v>
      </c>
      <c r="F32" s="11" t="n">
        <f aca="false">SUM(C32:E32)</f>
        <v>64086.76</v>
      </c>
      <c r="G32" s="11" t="n">
        <f aca="false">SUM(B32:E32)</f>
        <v>64086.76</v>
      </c>
    </row>
    <row r="33" customFormat="false" ht="15" hidden="false" customHeight="true" outlineLevel="0" collapsed="false">
      <c r="A33" s="9" t="s">
        <v>32</v>
      </c>
      <c r="B33" s="19" t="n">
        <v>0</v>
      </c>
      <c r="C33" s="19" t="n">
        <v>28480</v>
      </c>
      <c r="D33" s="19" t="n">
        <v>28480</v>
      </c>
      <c r="E33" s="19" t="n">
        <v>28480</v>
      </c>
      <c r="F33" s="11" t="n">
        <f aca="false">SUM(C33:E33)</f>
        <v>85440</v>
      </c>
      <c r="G33" s="11" t="n">
        <f aca="false">SUM(B33:E33)</f>
        <v>85440</v>
      </c>
    </row>
    <row r="35" customFormat="false" ht="15" hidden="false" customHeight="true" outlineLevel="0" collapsed="false">
      <c r="A35" s="2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34</v>
      </c>
    </row>
    <row r="2" customFormat="false" ht="15" hidden="false" customHeight="true" outlineLevel="0" collapsed="false">
      <c r="A2" s="3" t="s">
        <v>35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36</v>
      </c>
    </row>
    <row r="6" customFormat="false" ht="15" hidden="false" customHeight="true" outlineLevel="0" collapsed="false">
      <c r="A6" s="7" t="s">
        <v>9</v>
      </c>
      <c r="B6" s="8"/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9" t="s">
        <v>37</v>
      </c>
      <c r="B7" s="10" t="n">
        <f aca="false">Ressources!B7</f>
        <v>15000</v>
      </c>
      <c r="C7" s="10" t="n">
        <f aca="false">Ressources!C7</f>
        <v>30000</v>
      </c>
      <c r="D7" s="10" t="n">
        <f aca="false">Ressources!D7</f>
        <v>0</v>
      </c>
      <c r="E7" s="10" t="n">
        <f aca="false">Ressources!E7</f>
        <v>0</v>
      </c>
      <c r="F7" s="11" t="n">
        <f aca="false">SUM(C7:E7)</f>
        <v>30000</v>
      </c>
      <c r="G7" s="11" t="n">
        <f aca="false">SUM(B7:E7)</f>
        <v>45000</v>
      </c>
      <c r="H7" s="21" t="s">
        <v>38</v>
      </c>
    </row>
    <row r="8" customFormat="false" ht="15" hidden="false" customHeight="true" outlineLevel="0" collapsed="false">
      <c r="A8" s="9" t="s">
        <v>39</v>
      </c>
      <c r="B8" s="10" t="n">
        <f aca="false">Ressources!B11</f>
        <v>75</v>
      </c>
      <c r="C8" s="10" t="n">
        <f aca="false">Ressources!C11</f>
        <v>525</v>
      </c>
      <c r="D8" s="10" t="n">
        <f aca="false">Ressources!D11</f>
        <v>900</v>
      </c>
      <c r="E8" s="10" t="n">
        <f aca="false">Ressources!E11</f>
        <v>900</v>
      </c>
      <c r="F8" s="11" t="n">
        <f aca="false">SUM(C8:E8)</f>
        <v>2325</v>
      </c>
      <c r="G8" s="11" t="n">
        <f aca="false">SUM(B8:E8)</f>
        <v>2400</v>
      </c>
      <c r="H8" s="21" t="s">
        <v>40</v>
      </c>
    </row>
    <row r="9" customFormat="false" ht="15" hidden="false" customHeight="true" outlineLevel="0" collapsed="false">
      <c r="A9" s="9" t="s">
        <v>41</v>
      </c>
      <c r="B9" s="10" t="n">
        <f aca="false">Ressources!B12</f>
        <v>157452.72</v>
      </c>
      <c r="C9" s="10" t="n">
        <f aca="false">Ressources!C12</f>
        <v>0</v>
      </c>
      <c r="D9" s="10" t="n">
        <f aca="false">Ressources!D12</f>
        <v>0</v>
      </c>
      <c r="E9" s="10" t="n">
        <f aca="false">Ressources!E12</f>
        <v>0</v>
      </c>
      <c r="F9" s="11" t="n">
        <f aca="false">SUM(C9:E9)</f>
        <v>0</v>
      </c>
      <c r="G9" s="11" t="n">
        <f aca="false">SUM(B9:E9)</f>
        <v>157452.72</v>
      </c>
      <c r="H9" s="21" t="s">
        <v>42</v>
      </c>
    </row>
    <row r="10" customFormat="false" ht="15" hidden="false" customHeight="true" outlineLevel="0" collapsed="false">
      <c r="A10" s="9" t="s">
        <v>43</v>
      </c>
      <c r="B10" s="10" t="n">
        <f aca="false">Ressources!B13</f>
        <v>0</v>
      </c>
      <c r="C10" s="10" t="n">
        <f aca="false">Ressources!C13</f>
        <v>1567535.69</v>
      </c>
      <c r="D10" s="10" t="n">
        <f aca="false">Ressources!D13</f>
        <v>0</v>
      </c>
      <c r="E10" s="10" t="n">
        <f aca="false">Ressources!E13</f>
        <v>0</v>
      </c>
      <c r="F10" s="11" t="n">
        <f aca="false">SUM(C10:E10)</f>
        <v>1567535.69</v>
      </c>
      <c r="G10" s="11" t="n">
        <f aca="false">SUM(B10:E10)</f>
        <v>1567535.69</v>
      </c>
      <c r="H10" s="21" t="s">
        <v>44</v>
      </c>
    </row>
    <row r="11" customFormat="false" ht="15" hidden="false" customHeight="true" outlineLevel="0" collapsed="false">
      <c r="A11" s="9" t="s">
        <v>45</v>
      </c>
      <c r="B11" s="10" t="n">
        <f aca="false">Ressources!B14</f>
        <v>0</v>
      </c>
      <c r="C11" s="10" t="n">
        <f aca="false">Ressources!C14</f>
        <v>0</v>
      </c>
      <c r="D11" s="10" t="n">
        <f aca="false">Ressources!D14</f>
        <v>2216500</v>
      </c>
      <c r="E11" s="10" t="n">
        <f aca="false">Ressources!E14</f>
        <v>0</v>
      </c>
      <c r="F11" s="11" t="n">
        <f aca="false">SUM(C11:E11)</f>
        <v>2216500</v>
      </c>
      <c r="G11" s="11" t="n">
        <f aca="false">SUM(B11:E11)</f>
        <v>2216500</v>
      </c>
      <c r="H11" s="21" t="s">
        <v>46</v>
      </c>
    </row>
    <row r="12" customFormat="false" ht="15" hidden="false" customHeight="true" outlineLevel="0" collapsed="false">
      <c r="A12" s="9" t="s">
        <v>47</v>
      </c>
      <c r="B12" s="10" t="n">
        <f aca="false">Ressources!B15</f>
        <v>0</v>
      </c>
      <c r="C12" s="10" t="n">
        <f aca="false">Ressources!C15</f>
        <v>0</v>
      </c>
      <c r="D12" s="10" t="n">
        <f aca="false">Ressources!D15</f>
        <v>0</v>
      </c>
      <c r="E12" s="10" t="n">
        <f aca="false">Ressources!E15</f>
        <v>0</v>
      </c>
      <c r="F12" s="11" t="n">
        <f aca="false">SUM(C12:E12)</f>
        <v>0</v>
      </c>
      <c r="G12" s="11" t="n">
        <f aca="false">SUM(B12:E12)</f>
        <v>0</v>
      </c>
      <c r="H12" s="21"/>
    </row>
    <row r="13" customFormat="false" ht="15" hidden="false" customHeight="true" outlineLevel="0" collapsed="false">
      <c r="A13" s="9" t="s">
        <v>48</v>
      </c>
      <c r="B13" s="10" t="n">
        <f aca="false">Ressources!B16</f>
        <v>0</v>
      </c>
      <c r="C13" s="10" t="n">
        <f aca="false">Ressources!C16</f>
        <v>0</v>
      </c>
      <c r="D13" s="10" t="n">
        <f aca="false">Ressources!D16</f>
        <v>0</v>
      </c>
      <c r="E13" s="10" t="n">
        <f aca="false">Ressources!E16</f>
        <v>0</v>
      </c>
      <c r="F13" s="11" t="n">
        <f aca="false">SUM(C13:E13)</f>
        <v>0</v>
      </c>
      <c r="G13" s="11" t="n">
        <f aca="false">SUM(B13:E13)</f>
        <v>0</v>
      </c>
      <c r="H13" s="21"/>
    </row>
    <row r="14" customFormat="false" ht="15" hidden="false" customHeight="true" outlineLevel="0" collapsed="false">
      <c r="A14" s="9" t="s">
        <v>49</v>
      </c>
      <c r="B14" s="10" t="n">
        <f aca="false">Ressources!B17</f>
        <v>0</v>
      </c>
      <c r="C14" s="10" t="n">
        <f aca="false">Ressources!C17</f>
        <v>0</v>
      </c>
      <c r="D14" s="10" t="n">
        <f aca="false">Ressources!D17</f>
        <v>0</v>
      </c>
      <c r="E14" s="10" t="n">
        <f aca="false">Ressources!E17</f>
        <v>0</v>
      </c>
      <c r="F14" s="11" t="n">
        <f aca="false">SUM(C14:E14)</f>
        <v>0</v>
      </c>
      <c r="G14" s="11" t="n">
        <f aca="false">SUM(B14:E14)</f>
        <v>0</v>
      </c>
      <c r="H14" s="21"/>
    </row>
    <row r="15" customFormat="false" ht="15" hidden="false" customHeight="true" outlineLevel="0" collapsed="false">
      <c r="A15" s="9" t="s">
        <v>50</v>
      </c>
      <c r="B15" s="10" t="n">
        <f aca="false">Ressources!B18</f>
        <v>0</v>
      </c>
      <c r="C15" s="10" t="n">
        <f aca="false">Ressources!C18</f>
        <v>0</v>
      </c>
      <c r="D15" s="10" t="n">
        <f aca="false">Ressources!D18</f>
        <v>0</v>
      </c>
      <c r="E15" s="10" t="n">
        <f aca="false">Ressources!E18</f>
        <v>0</v>
      </c>
      <c r="F15" s="11" t="n">
        <f aca="false">SUM(C15:E15)</f>
        <v>0</v>
      </c>
      <c r="G15" s="11" t="n">
        <f aca="false">SUM(B15:E15)</f>
        <v>0</v>
      </c>
      <c r="H15" s="21"/>
    </row>
    <row r="16" customFormat="false" ht="15" hidden="false" customHeight="true" outlineLevel="0" collapsed="false">
      <c r="A16" s="9" t="s">
        <v>51</v>
      </c>
      <c r="B16" s="10" t="n">
        <f aca="false">Ressources!B19</f>
        <v>0</v>
      </c>
      <c r="C16" s="10" t="n">
        <f aca="false">Ressources!C19</f>
        <v>0</v>
      </c>
      <c r="D16" s="10" t="n">
        <f aca="false">Ressources!D19</f>
        <v>0</v>
      </c>
      <c r="E16" s="10" t="n">
        <f aca="false">Ressources!E19</f>
        <v>0</v>
      </c>
      <c r="F16" s="11" t="n">
        <f aca="false">SUM(C16:E16)</f>
        <v>0</v>
      </c>
      <c r="G16" s="11" t="n">
        <f aca="false">SUM(B16:E16)</f>
        <v>0</v>
      </c>
      <c r="H16" s="21" t="s">
        <v>52</v>
      </c>
    </row>
    <row r="17" customFormat="false" ht="15" hidden="false" customHeight="true" outlineLevel="0" collapsed="false">
      <c r="A17" s="9" t="s">
        <v>53</v>
      </c>
      <c r="B17" s="10" t="n">
        <f aca="false">Ressources!B20</f>
        <v>0</v>
      </c>
      <c r="C17" s="10" t="n">
        <f aca="false">Ressources!C20</f>
        <v>0</v>
      </c>
      <c r="D17" s="10" t="n">
        <f aca="false">Ressources!D20</f>
        <v>0</v>
      </c>
      <c r="E17" s="10" t="n">
        <f aca="false">Ressources!E20</f>
        <v>0</v>
      </c>
      <c r="F17" s="11" t="n">
        <f aca="false">SUM(C17:E17)</f>
        <v>0</v>
      </c>
      <c r="G17" s="11" t="n">
        <f aca="false">SUM(B17:E17)</f>
        <v>0</v>
      </c>
      <c r="H17" s="21"/>
    </row>
    <row r="18" customFormat="false" ht="15" hidden="false" customHeight="true" outlineLevel="0" collapsed="false">
      <c r="A18" s="9" t="s">
        <v>54</v>
      </c>
      <c r="B18" s="10" t="n">
        <f aca="false">Ressources!B21</f>
        <v>0</v>
      </c>
      <c r="C18" s="10" t="n">
        <f aca="false">Ressources!C21</f>
        <v>0</v>
      </c>
      <c r="D18" s="10" t="n">
        <f aca="false">Ressources!D21</f>
        <v>0</v>
      </c>
      <c r="E18" s="10" t="n">
        <f aca="false">Ressources!E21</f>
        <v>0</v>
      </c>
      <c r="F18" s="11" t="n">
        <f aca="false">SUM(C18:E18)</f>
        <v>0</v>
      </c>
      <c r="G18" s="11" t="n">
        <f aca="false">SUM(B18:E18)</f>
        <v>0</v>
      </c>
      <c r="H18" s="21"/>
    </row>
    <row r="19" customFormat="false" ht="15" hidden="false" customHeight="true" outlineLevel="0" collapsed="false">
      <c r="A19" s="9" t="s">
        <v>55</v>
      </c>
      <c r="B19" s="10" t="n">
        <f aca="false">Ressources!B22</f>
        <v>0</v>
      </c>
      <c r="C19" s="10" t="n">
        <f aca="false">Ressources!C22</f>
        <v>0</v>
      </c>
      <c r="D19" s="10" t="n">
        <f aca="false">Ressources!D22</f>
        <v>0</v>
      </c>
      <c r="E19" s="10" t="n">
        <f aca="false">Ressources!E22</f>
        <v>0</v>
      </c>
      <c r="F19" s="11" t="n">
        <f aca="false">SUM(C19:E19)</f>
        <v>0</v>
      </c>
      <c r="G19" s="11" t="n">
        <f aca="false">SUM(B19:E19)</f>
        <v>0</v>
      </c>
      <c r="H19" s="21"/>
    </row>
    <row r="20" customFormat="false" ht="15" hidden="false" customHeight="true" outlineLevel="0" collapsed="false">
      <c r="A20" s="9" t="s">
        <v>56</v>
      </c>
      <c r="B20" s="10" t="n">
        <f aca="false">Ressources!B23</f>
        <v>0</v>
      </c>
      <c r="C20" s="10" t="n">
        <f aca="false">Ressources!C23</f>
        <v>0</v>
      </c>
      <c r="D20" s="10" t="n">
        <f aca="false">Ressources!D23</f>
        <v>0</v>
      </c>
      <c r="E20" s="10" t="n">
        <f aca="false">Ressources!E23</f>
        <v>0</v>
      </c>
      <c r="F20" s="11" t="n">
        <f aca="false">SUM(C20:E20)</f>
        <v>0</v>
      </c>
      <c r="G20" s="11" t="n">
        <f aca="false">SUM(B20:E20)</f>
        <v>0</v>
      </c>
      <c r="H20" s="21"/>
    </row>
    <row r="21" customFormat="false" ht="15" hidden="false" customHeight="true" outlineLevel="0" collapsed="false">
      <c r="A21" s="9" t="s">
        <v>57</v>
      </c>
      <c r="B21" s="10" t="n">
        <f aca="false">Ressources!B24</f>
        <v>0</v>
      </c>
      <c r="C21" s="10" t="n">
        <f aca="false">Ressources!C24</f>
        <v>0</v>
      </c>
      <c r="D21" s="10" t="n">
        <f aca="false">Ressources!D24</f>
        <v>0</v>
      </c>
      <c r="E21" s="10" t="n">
        <f aca="false">Ressources!E24</f>
        <v>0</v>
      </c>
      <c r="F21" s="11" t="n">
        <f aca="false">SUM(C21:E21)</f>
        <v>0</v>
      </c>
      <c r="G21" s="11" t="n">
        <f aca="false">SUM(B21:E21)</f>
        <v>0</v>
      </c>
      <c r="H21" s="21"/>
    </row>
    <row r="22" customFormat="false" ht="15" hidden="false" customHeight="true" outlineLevel="0" collapsed="false">
      <c r="A22" s="9" t="s">
        <v>58</v>
      </c>
      <c r="B22" s="10" t="n">
        <f aca="false">Ressources!B25</f>
        <v>0</v>
      </c>
      <c r="C22" s="10" t="n">
        <f aca="false">Ressources!C25</f>
        <v>0</v>
      </c>
      <c r="D22" s="10" t="n">
        <f aca="false">Ressources!D25</f>
        <v>0</v>
      </c>
      <c r="E22" s="10" t="n">
        <f aca="false">Ressources!E25</f>
        <v>0</v>
      </c>
      <c r="F22" s="11" t="n">
        <f aca="false">SUM(C22:E22)</f>
        <v>0</v>
      </c>
      <c r="G22" s="11" t="n">
        <f aca="false">SUM(B22:E22)</f>
        <v>0</v>
      </c>
      <c r="H22" s="21" t="s">
        <v>59</v>
      </c>
    </row>
    <row r="23" customFormat="false" ht="15" hidden="false" customHeight="true" outlineLevel="0" collapsed="false">
      <c r="A23" s="9" t="s">
        <v>60</v>
      </c>
      <c r="B23" s="10" t="n">
        <f aca="false">Ressources!B26</f>
        <v>0</v>
      </c>
      <c r="C23" s="10" t="n">
        <f aca="false">Ressources!C26</f>
        <v>0</v>
      </c>
      <c r="D23" s="10" t="n">
        <f aca="false">Ressources!D26</f>
        <v>0</v>
      </c>
      <c r="E23" s="10" t="n">
        <f aca="false">Ressources!E26</f>
        <v>0</v>
      </c>
      <c r="F23" s="11" t="n">
        <f aca="false">SUM(C23:E23)</f>
        <v>0</v>
      </c>
      <c r="G23" s="11" t="n">
        <f aca="false">SUM(B23:E23)</f>
        <v>0</v>
      </c>
      <c r="H23" s="21" t="s">
        <v>61</v>
      </c>
    </row>
    <row r="24" customFormat="false" ht="15" hidden="false" customHeight="true" outlineLevel="0" collapsed="false">
      <c r="A24" s="12" t="s">
        <v>62</v>
      </c>
      <c r="B24" s="13" t="n">
        <f aca="false">SUM(B7:B23)</f>
        <v>172527.72</v>
      </c>
      <c r="C24" s="13" t="n">
        <f aca="false">SUM(C7:C23)</f>
        <v>1598060.69</v>
      </c>
      <c r="D24" s="13" t="n">
        <f aca="false">SUM(D7:D23)</f>
        <v>2217400</v>
      </c>
      <c r="E24" s="13" t="n">
        <f aca="false">SUM(E7:E23)</f>
        <v>900</v>
      </c>
      <c r="F24" s="14" t="n">
        <f aca="false">SUM(C24:E24)</f>
        <v>3816360.69</v>
      </c>
      <c r="G24" s="14" t="n">
        <f aca="false">SUM(B24:E24)</f>
        <v>3988888.41</v>
      </c>
      <c r="H24" s="21"/>
    </row>
    <row r="25" customFormat="false" ht="14.25" hidden="false" customHeight="true" outlineLevel="0" collapsed="false">
      <c r="A25" s="12" t="s">
        <v>63</v>
      </c>
      <c r="B25" s="13" t="n">
        <f aca="false">SUM(B8:B23)</f>
        <v>157527.72</v>
      </c>
      <c r="C25" s="13" t="n">
        <f aca="false">SUM(C8:C23)</f>
        <v>1568060.69</v>
      </c>
      <c r="D25" s="13" t="n">
        <f aca="false">SUM(D8:D23)</f>
        <v>2217400</v>
      </c>
      <c r="E25" s="13" t="n">
        <f aca="false">SUM(E8:E23)</f>
        <v>900</v>
      </c>
      <c r="F25" s="14" t="n">
        <f aca="false">SUM(C25:E25)</f>
        <v>3786360.69</v>
      </c>
      <c r="G25" s="14" t="n">
        <f aca="false">SUM(B25:E25)</f>
        <v>3943888.41</v>
      </c>
      <c r="H25" s="21"/>
    </row>
    <row r="26" customFormat="false" ht="15" hidden="false" customHeight="true" outlineLevel="0" collapsed="false"/>
    <row r="27" customFormat="false" ht="15" hidden="false" customHeight="true" outlineLevel="0" collapsed="false">
      <c r="A27" s="7" t="s">
        <v>64</v>
      </c>
      <c r="B27" s="8"/>
      <c r="C27" s="8"/>
      <c r="D27" s="8"/>
      <c r="E27" s="8"/>
      <c r="F27" s="8"/>
      <c r="G27" s="8"/>
      <c r="H27" s="8"/>
    </row>
    <row r="28" customFormat="false" ht="15" hidden="false" customHeight="true" outlineLevel="0" collapsed="false">
      <c r="A28" s="9" t="s">
        <v>15</v>
      </c>
      <c r="B28" s="10" t="n">
        <f aca="false">A_P1!B28</f>
        <v>0</v>
      </c>
      <c r="C28" s="10" t="n">
        <f aca="false">A_P1!C28</f>
        <v>150000</v>
      </c>
      <c r="D28" s="10" t="n">
        <f aca="false">A_P1!D28</f>
        <v>150000</v>
      </c>
      <c r="E28" s="10" t="n">
        <f aca="false">A_P1!E28</f>
        <v>150000</v>
      </c>
      <c r="F28" s="11" t="n">
        <f aca="false">SUM(C28:E28)</f>
        <v>450000</v>
      </c>
      <c r="G28" s="11" t="n">
        <f aca="false">SUM(B28:E28)</f>
        <v>450000</v>
      </c>
      <c r="H28" s="21"/>
    </row>
    <row r="29" customFormat="false" ht="15" hidden="false" customHeight="true" outlineLevel="0" collapsed="false">
      <c r="A29" s="9" t="s">
        <v>16</v>
      </c>
      <c r="B29" s="10" t="n">
        <f aca="false">A_P2!B28</f>
        <v>0</v>
      </c>
      <c r="C29" s="10" t="n">
        <f aca="false">A_P2!C28</f>
        <v>800000</v>
      </c>
      <c r="D29" s="10" t="n">
        <f aca="false">A_P2!D28</f>
        <v>0</v>
      </c>
      <c r="E29" s="10" t="n">
        <f aca="false">A_P2!E28</f>
        <v>0</v>
      </c>
      <c r="F29" s="11" t="n">
        <f aca="false">SUM(C29:E29)</f>
        <v>800000</v>
      </c>
      <c r="G29" s="11" t="n">
        <f aca="false">SUM(B29:E29)</f>
        <v>800000</v>
      </c>
      <c r="H29" s="21"/>
    </row>
    <row r="30" customFormat="false" ht="15" hidden="false" customHeight="true" outlineLevel="0" collapsed="false">
      <c r="A30" s="9" t="s">
        <v>17</v>
      </c>
      <c r="B30" s="10" t="n">
        <f aca="false">A_P3!B28</f>
        <v>43000</v>
      </c>
      <c r="C30" s="10" t="n">
        <f aca="false">A_P3!C28</f>
        <v>43000</v>
      </c>
      <c r="D30" s="10" t="n">
        <f aca="false">A_P3!D28</f>
        <v>43000</v>
      </c>
      <c r="E30" s="10" t="n">
        <f aca="false">A_P3!E28</f>
        <v>43000</v>
      </c>
      <c r="F30" s="11" t="n">
        <f aca="false">SUM(C30:E30)</f>
        <v>129000</v>
      </c>
      <c r="G30" s="11" t="n">
        <f aca="false">SUM(B30:E30)</f>
        <v>172000</v>
      </c>
      <c r="H30" s="21"/>
    </row>
    <row r="31" customFormat="false" ht="15" hidden="false" customHeight="true" outlineLevel="0" collapsed="false">
      <c r="A31" s="9" t="s">
        <v>18</v>
      </c>
      <c r="B31" s="10" t="n">
        <f aca="false">A_P4!B28</f>
        <v>70000</v>
      </c>
      <c r="C31" s="10" t="n">
        <f aca="false">A_P4!C28</f>
        <v>108350</v>
      </c>
      <c r="D31" s="10" t="n">
        <f aca="false">A_P4!D28</f>
        <v>2048350</v>
      </c>
      <c r="E31" s="10" t="n">
        <f aca="false">A_P4!E28</f>
        <v>67850</v>
      </c>
      <c r="F31" s="11" t="n">
        <f aca="false">SUM(C31:E31)</f>
        <v>2224550</v>
      </c>
      <c r="G31" s="11" t="n">
        <f aca="false">SUM(B31:E31)</f>
        <v>2294550</v>
      </c>
      <c r="H31" s="21"/>
    </row>
    <row r="32" customFormat="false" ht="14.25" hidden="false" customHeight="true" outlineLevel="0" collapsed="false">
      <c r="A32" s="12" t="s">
        <v>65</v>
      </c>
      <c r="B32" s="13" t="n">
        <f aca="false">SUM(B28:B31)</f>
        <v>113000</v>
      </c>
      <c r="C32" s="13" t="n">
        <f aca="false">SUM(C28:C31)</f>
        <v>1101350</v>
      </c>
      <c r="D32" s="13" t="n">
        <f aca="false">SUM(D28:D31)</f>
        <v>2241350</v>
      </c>
      <c r="E32" s="13" t="n">
        <f aca="false">SUM(E28:E31)</f>
        <v>260850</v>
      </c>
      <c r="F32" s="14" t="n">
        <f aca="false">SUM(C32:E32)</f>
        <v>3603550</v>
      </c>
      <c r="G32" s="14" t="n">
        <f aca="false">SUM(B32:E32)</f>
        <v>3716550</v>
      </c>
      <c r="H32" s="21"/>
    </row>
    <row r="33" customFormat="false" ht="15" hidden="false" customHeight="true" outlineLevel="0" collapsed="false"/>
    <row r="34" customFormat="false" ht="15" hidden="false" customHeight="true" outlineLevel="0" collapsed="false">
      <c r="A34" s="7" t="s">
        <v>66</v>
      </c>
      <c r="B34" s="8"/>
      <c r="C34" s="8"/>
      <c r="D34" s="8"/>
      <c r="E34" s="8"/>
      <c r="F34" s="8"/>
      <c r="G34" s="8"/>
      <c r="H34" s="8"/>
    </row>
    <row r="35" customFormat="false" ht="14.25" hidden="false" customHeight="true" outlineLevel="0" collapsed="false">
      <c r="A35" s="9" t="s">
        <v>67</v>
      </c>
      <c r="B35" s="10" t="n">
        <f aca="false">'B · Moyens communs'!B10</f>
        <v>2120</v>
      </c>
      <c r="C35" s="10" t="n">
        <f aca="false">'B · Moyens communs'!C10</f>
        <v>9707.23</v>
      </c>
      <c r="D35" s="10" t="n">
        <f aca="false">'B · Moyens communs'!D10</f>
        <v>25663.52</v>
      </c>
      <c r="E35" s="10" t="n">
        <f aca="false">'B · Moyens communs'!E10</f>
        <v>35216.28</v>
      </c>
      <c r="F35" s="11" t="n">
        <f aca="false">SUM(C35:E35)</f>
        <v>70587.03</v>
      </c>
      <c r="G35" s="11" t="n">
        <f aca="false">SUM(B35:E35)</f>
        <v>72707.03</v>
      </c>
      <c r="H35" s="21"/>
    </row>
    <row r="36" customFormat="false" ht="15" hidden="false" customHeight="true" outlineLevel="0" collapsed="false"/>
    <row r="37" customFormat="false" ht="15" hidden="false" customHeight="true" outlineLevel="0" collapsed="false">
      <c r="A37" s="7" t="s">
        <v>68</v>
      </c>
      <c r="B37" s="8"/>
      <c r="C37" s="8"/>
      <c r="D37" s="8"/>
      <c r="E37" s="8"/>
      <c r="F37" s="8"/>
      <c r="G37" s="8"/>
      <c r="H37" s="8"/>
    </row>
    <row r="38" customFormat="false" ht="14.25" hidden="false" customHeight="true" outlineLevel="0" collapsed="false">
      <c r="A38" s="9" t="s">
        <v>69</v>
      </c>
      <c r="B38" s="10" t="n">
        <f aca="false">'C · Fonctionnement'!B17</f>
        <v>300</v>
      </c>
      <c r="C38" s="10" t="n">
        <f aca="false">'C · Fonctionnement'!C17</f>
        <v>32325.49</v>
      </c>
      <c r="D38" s="10" t="n">
        <f aca="false">'C · Fonctionnement'!D17</f>
        <v>59875.72</v>
      </c>
      <c r="E38" s="10" t="n">
        <f aca="false">'C · Fonctionnement'!E17</f>
        <v>62130.17</v>
      </c>
      <c r="F38" s="11" t="n">
        <f aca="false">SUM(C38:E38)</f>
        <v>154331.38</v>
      </c>
      <c r="G38" s="11" t="n">
        <f aca="false">SUM(B38:E38)</f>
        <v>154631.38</v>
      </c>
      <c r="H38" s="21"/>
    </row>
    <row r="39" customFormat="false" ht="15" hidden="false" customHeight="true" outlineLevel="0" collapsed="false"/>
    <row r="40" customFormat="false" ht="15" hidden="false" customHeight="true" outlineLevel="0" collapsed="false">
      <c r="A40" s="7" t="s">
        <v>23</v>
      </c>
      <c r="B40" s="8"/>
      <c r="C40" s="8"/>
      <c r="D40" s="8"/>
      <c r="E40" s="8"/>
      <c r="F40" s="8"/>
      <c r="G40" s="8"/>
      <c r="H40" s="8"/>
    </row>
    <row r="41" customFormat="false" ht="21.75" hidden="false" customHeight="true" outlineLevel="0" collapsed="false">
      <c r="A41" s="15" t="s">
        <v>70</v>
      </c>
      <c r="B41" s="16" t="n">
        <f aca="false">B32+B35+B38</f>
        <v>115420</v>
      </c>
      <c r="C41" s="16" t="n">
        <f aca="false">C32+C35+C38</f>
        <v>1143382.72</v>
      </c>
      <c r="D41" s="16" t="n">
        <f aca="false">D32+D35+D38</f>
        <v>2326889.24</v>
      </c>
      <c r="E41" s="16" t="n">
        <f aca="false">E32+E35+E38</f>
        <v>358196.45</v>
      </c>
      <c r="F41" s="17" t="n">
        <f aca="false">SUM(C41:E41)</f>
        <v>3828468.41</v>
      </c>
      <c r="G41" s="17" t="n">
        <f aca="false">SUM(B41:E41)</f>
        <v>3943888.41</v>
      </c>
      <c r="H41" s="22"/>
    </row>
    <row r="42" customFormat="false" ht="15" hidden="false" customHeight="true" outlineLevel="0" collapsed="false">
      <c r="A42" s="12" t="s">
        <v>24</v>
      </c>
      <c r="B42" s="13" t="n">
        <f aca="false">B25-B41</f>
        <v>42107.72</v>
      </c>
      <c r="C42" s="13" t="n">
        <f aca="false">C25-C41</f>
        <v>424677.97</v>
      </c>
      <c r="D42" s="13" t="n">
        <f aca="false">D25-D41</f>
        <v>-109489.24</v>
      </c>
      <c r="E42" s="13" t="n">
        <f aca="false">E25-E41</f>
        <v>-357296.45</v>
      </c>
      <c r="F42" s="14" t="n">
        <f aca="false">SUM(C42:E42)</f>
        <v>-42107.7200000003</v>
      </c>
      <c r="G42" s="14" t="n">
        <f aca="false">SUM(B42:E42)</f>
        <v>0</v>
      </c>
      <c r="H42" s="21" t="s">
        <v>71</v>
      </c>
    </row>
    <row r="43" customFormat="false" ht="14.25" hidden="false" customHeight="true" outlineLevel="0" collapsed="false">
      <c r="A43" s="12" t="s">
        <v>25</v>
      </c>
      <c r="B43" s="14" t="n">
        <f aca="false">B42</f>
        <v>42107.72</v>
      </c>
      <c r="C43" s="14" t="n">
        <f aca="false">B43+C42</f>
        <v>466785.69</v>
      </c>
      <c r="D43" s="14" t="n">
        <f aca="false">C43+D42</f>
        <v>357296.45</v>
      </c>
      <c r="E43" s="14" t="n">
        <f aca="false">D43+E42</f>
        <v>0</v>
      </c>
    </row>
    <row r="44" customFormat="false" ht="15" hidden="false" customHeight="true" outlineLevel="0" collapsed="false"/>
    <row r="45" customFormat="false" ht="15" hidden="false" customHeight="true" outlineLevel="0" collapsed="false">
      <c r="A45" s="7" t="s">
        <v>29</v>
      </c>
      <c r="B45" s="8"/>
      <c r="C45" s="8"/>
      <c r="D45" s="8"/>
      <c r="E45" s="8"/>
      <c r="F45" s="8"/>
      <c r="G45" s="8"/>
      <c r="H45" s="8"/>
    </row>
    <row r="46" customFormat="false" ht="15" hidden="false" customHeight="true" outlineLevel="0" collapsed="false">
      <c r="A46" s="9" t="s">
        <v>72</v>
      </c>
      <c r="B46" s="10" t="n">
        <f aca="false">Synthèse!B31</f>
        <v>0</v>
      </c>
      <c r="C46" s="10" t="n">
        <f aca="false">Synthèse!C31</f>
        <v>29607.11</v>
      </c>
      <c r="D46" s="10" t="n">
        <f aca="false">Synthèse!D31</f>
        <v>55110.94</v>
      </c>
      <c r="E46" s="10" t="n">
        <f aca="false">Synthèse!E31</f>
        <v>55804.3</v>
      </c>
      <c r="F46" s="11" t="n">
        <f aca="false">SUM(C46:E46)</f>
        <v>140522.35</v>
      </c>
      <c r="G46" s="11" t="n">
        <f aca="false">SUM(B46:E46)</f>
        <v>140522.35</v>
      </c>
      <c r="H46" s="21"/>
    </row>
    <row r="47" customFormat="false" ht="14.25" hidden="false" customHeight="true" outlineLevel="0" collapsed="false">
      <c r="A47" s="9" t="s">
        <v>32</v>
      </c>
      <c r="B47" s="10" t="n">
        <f aca="false">Synthèse!B33</f>
        <v>0</v>
      </c>
      <c r="C47" s="10" t="n">
        <f aca="false">Synthèse!C33</f>
        <v>28480</v>
      </c>
      <c r="D47" s="10" t="n">
        <f aca="false">Synthèse!D33</f>
        <v>28480</v>
      </c>
      <c r="E47" s="10" t="n">
        <f aca="false">Synthèse!E33</f>
        <v>28480</v>
      </c>
      <c r="F47" s="11" t="n">
        <f aca="false">SUM(C47:E47)</f>
        <v>85440</v>
      </c>
      <c r="G47" s="11" t="n">
        <f aca="false">SUM(B47:E47)</f>
        <v>85440</v>
      </c>
      <c r="H47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73</v>
      </c>
    </row>
    <row r="2" customFormat="false" ht="15" hidden="false" customHeight="true" outlineLevel="0" collapsed="false">
      <c r="A2" s="3" t="s">
        <v>74</v>
      </c>
    </row>
    <row r="3" customFormat="false" ht="15" hidden="false" customHeight="true" outlineLevel="0" collapsed="false">
      <c r="A3" s="20" t="s">
        <v>75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36</v>
      </c>
    </row>
    <row r="6" customFormat="false" ht="15" hidden="false" customHeight="true" outlineLevel="0" collapsed="false">
      <c r="A6" s="7" t="s">
        <v>76</v>
      </c>
      <c r="B6" s="8"/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9" t="s">
        <v>77</v>
      </c>
      <c r="B7" s="19" t="n">
        <v>0</v>
      </c>
      <c r="C7" s="19" t="n">
        <v>0</v>
      </c>
      <c r="D7" s="19" t="n">
        <v>0</v>
      </c>
      <c r="E7" s="19" t="n">
        <v>0</v>
      </c>
      <c r="F7" s="11" t="n">
        <f aca="false">SUM(C7:E7)</f>
        <v>0</v>
      </c>
      <c r="G7" s="11" t="n">
        <f aca="false">SUM(B7:E7)</f>
        <v>0</v>
      </c>
      <c r="H7" s="21" t="s">
        <v>78</v>
      </c>
    </row>
    <row r="8" customFormat="false" ht="21.75" hidden="false" customHeight="true" outlineLevel="0" collapsed="false">
      <c r="A8" s="9" t="s">
        <v>79</v>
      </c>
      <c r="B8" s="19" t="n">
        <v>0</v>
      </c>
      <c r="C8" s="19" t="n">
        <v>0</v>
      </c>
      <c r="D8" s="19" t="n">
        <v>0</v>
      </c>
      <c r="E8" s="19" t="n">
        <v>0</v>
      </c>
      <c r="F8" s="11" t="n">
        <f aca="false">SUM(C8:E8)</f>
        <v>0</v>
      </c>
      <c r="G8" s="11" t="n">
        <f aca="false">SUM(B8:E8)</f>
        <v>0</v>
      </c>
      <c r="H8" s="21" t="s">
        <v>80</v>
      </c>
    </row>
    <row r="9" customFormat="false" ht="21.75" hidden="false" customHeight="true" outlineLevel="0" collapsed="false">
      <c r="A9" s="9" t="s">
        <v>81</v>
      </c>
      <c r="B9" s="19" t="n">
        <v>0</v>
      </c>
      <c r="C9" s="19" t="n">
        <v>0</v>
      </c>
      <c r="D9" s="19" t="n">
        <v>0</v>
      </c>
      <c r="E9" s="19" t="n">
        <v>0</v>
      </c>
      <c r="F9" s="11" t="n">
        <f aca="false">SUM(C9:E9)</f>
        <v>0</v>
      </c>
      <c r="G9" s="11" t="n">
        <f aca="false">SUM(B9:E9)</f>
        <v>0</v>
      </c>
      <c r="H9" s="21" t="s">
        <v>82</v>
      </c>
    </row>
    <row r="10" customFormat="false" ht="15" hidden="false" customHeight="true" outlineLevel="0" collapsed="false">
      <c r="A10" s="9" t="s">
        <v>83</v>
      </c>
      <c r="B10" s="23" t="n">
        <v>0</v>
      </c>
      <c r="C10" s="23" t="n">
        <f aca="false">MAX(0,B31)</f>
        <v>0</v>
      </c>
      <c r="D10" s="23" t="n">
        <f aca="false">MAX(0,C31)</f>
        <v>0</v>
      </c>
      <c r="E10" s="23" t="n">
        <f aca="false">MAX(0,D31)</f>
        <v>0</v>
      </c>
      <c r="F10" s="11" t="n">
        <f aca="false">SUM(C10:E10)</f>
        <v>0</v>
      </c>
      <c r="G10" s="11" t="n">
        <f aca="false">SUM(B10:E10)</f>
        <v>0</v>
      </c>
      <c r="H10" s="24" t="s">
        <v>84</v>
      </c>
    </row>
    <row r="11" customFormat="false" ht="21.75" hidden="false" customHeight="true" outlineLevel="0" collapsed="false">
      <c r="A11" s="9" t="s">
        <v>85</v>
      </c>
      <c r="B11" s="10" t="n">
        <f aca="false">MAX(0,B28-B7-B8-B9-B10)</f>
        <v>0</v>
      </c>
      <c r="C11" s="10" t="n">
        <f aca="false">MAX(0,C28-C7-C8-C9-C10)</f>
        <v>150000</v>
      </c>
      <c r="D11" s="10" t="n">
        <f aca="false">MAX(0,D28-D7-D8-D9-D10)</f>
        <v>150000</v>
      </c>
      <c r="E11" s="10" t="n">
        <f aca="false">MAX(0,E28-E7-E8-E9-E10)</f>
        <v>150000</v>
      </c>
      <c r="F11" s="11" t="n">
        <f aca="false">SUM(C11:E11)</f>
        <v>450000</v>
      </c>
      <c r="G11" s="11" t="n">
        <f aca="false">SUM(B11:E11)</f>
        <v>450000</v>
      </c>
      <c r="H11" s="21" t="s">
        <v>86</v>
      </c>
    </row>
    <row r="12" customFormat="false" ht="15" hidden="false" customHeight="true" outlineLevel="0" collapsed="false">
      <c r="A12" s="12" t="s">
        <v>87</v>
      </c>
      <c r="B12" s="13" t="n">
        <f aca="false">SUM(B7:B11)</f>
        <v>0</v>
      </c>
      <c r="C12" s="13" t="n">
        <f aca="false">SUM(C7:C11)</f>
        <v>150000</v>
      </c>
      <c r="D12" s="13" t="n">
        <f aca="false">SUM(D7:D11)</f>
        <v>150000</v>
      </c>
      <c r="E12" s="13" t="n">
        <f aca="false">SUM(E7:E11)</f>
        <v>150000</v>
      </c>
      <c r="F12" s="14" t="n">
        <f aca="false">SUM(C12:E12)</f>
        <v>450000</v>
      </c>
      <c r="G12" s="14" t="n">
        <f aca="false">SUM(B12:E12)</f>
        <v>450000</v>
      </c>
      <c r="H12" s="21"/>
    </row>
    <row r="14" customFormat="false" ht="15" hidden="false" customHeight="true" outlineLevel="0" collapsed="false">
      <c r="A14" s="7" t="s">
        <v>88</v>
      </c>
      <c r="B14" s="8"/>
      <c r="C14" s="8"/>
      <c r="D14" s="8"/>
      <c r="E14" s="8"/>
      <c r="F14" s="8"/>
      <c r="G14" s="8"/>
      <c r="H14" s="8"/>
    </row>
    <row r="15" customFormat="false" ht="21.75" hidden="false" customHeight="true" outlineLevel="0" collapsed="false">
      <c r="A15" s="9" t="s">
        <v>89</v>
      </c>
      <c r="B15" s="19" t="n">
        <v>0</v>
      </c>
      <c r="C15" s="19" t="n">
        <v>150000</v>
      </c>
      <c r="D15" s="19" t="n">
        <v>150000</v>
      </c>
      <c r="E15" s="19" t="n">
        <v>150000</v>
      </c>
      <c r="F15" s="11" t="n">
        <f aca="false">SUM(C15:E15)</f>
        <v>450000</v>
      </c>
      <c r="G15" s="11" t="n">
        <f aca="false">SUM(B15:E15)</f>
        <v>450000</v>
      </c>
      <c r="H15" s="21" t="s">
        <v>90</v>
      </c>
    </row>
    <row r="16" customFormat="false" ht="15" hidden="false" customHeight="true" outlineLevel="0" collapsed="false">
      <c r="A16" s="9" t="s">
        <v>91</v>
      </c>
      <c r="B16" s="19" t="n">
        <v>0</v>
      </c>
      <c r="C16" s="19" t="n">
        <v>0</v>
      </c>
      <c r="D16" s="19" t="n">
        <v>0</v>
      </c>
      <c r="E16" s="19" t="n">
        <v>0</v>
      </c>
      <c r="F16" s="11" t="n">
        <f aca="false">SUM(C16:E16)</f>
        <v>0</v>
      </c>
      <c r="G16" s="11" t="n">
        <f aca="false">SUM(B16:E16)</f>
        <v>0</v>
      </c>
      <c r="H16" s="21"/>
    </row>
    <row r="17" customFormat="false" ht="15" hidden="false" customHeight="true" outlineLevel="0" collapsed="false">
      <c r="A17" s="9" t="s">
        <v>91</v>
      </c>
      <c r="B17" s="19" t="n">
        <v>0</v>
      </c>
      <c r="C17" s="19" t="n">
        <v>0</v>
      </c>
      <c r="D17" s="19" t="n">
        <v>0</v>
      </c>
      <c r="E17" s="19" t="n">
        <v>0</v>
      </c>
      <c r="F17" s="11" t="n">
        <f aca="false">SUM(C17:E17)</f>
        <v>0</v>
      </c>
      <c r="G17" s="11" t="n">
        <f aca="false">SUM(B17:E17)</f>
        <v>0</v>
      </c>
      <c r="H17" s="21"/>
    </row>
    <row r="18" customFormat="false" ht="21.75" hidden="false" customHeight="true" outlineLevel="0" collapsed="false">
      <c r="A18" s="9" t="s">
        <v>92</v>
      </c>
      <c r="B18" s="19" t="n">
        <v>0</v>
      </c>
      <c r="C18" s="19" t="n">
        <v>0</v>
      </c>
      <c r="D18" s="19" t="n">
        <v>0</v>
      </c>
      <c r="E18" s="19" t="n">
        <v>0</v>
      </c>
      <c r="F18" s="11" t="n">
        <f aca="false">SUM(C18:E18)</f>
        <v>0</v>
      </c>
      <c r="G18" s="11" t="n">
        <f aca="false">SUM(B18:E18)</f>
        <v>0</v>
      </c>
      <c r="H18" s="21" t="s">
        <v>93</v>
      </c>
    </row>
    <row r="19" customFormat="false" ht="15" hidden="false" customHeight="true" outlineLevel="0" collapsed="false">
      <c r="A19" s="12" t="s">
        <v>94</v>
      </c>
      <c r="B19" s="13" t="n">
        <f aca="false">SUM(B15:B18)</f>
        <v>0</v>
      </c>
      <c r="C19" s="13" t="n">
        <f aca="false">SUM(C15:C18)</f>
        <v>150000</v>
      </c>
      <c r="D19" s="13" t="n">
        <f aca="false">SUM(D15:D18)</f>
        <v>150000</v>
      </c>
      <c r="E19" s="13" t="n">
        <f aca="false">SUM(E15:E18)</f>
        <v>150000</v>
      </c>
      <c r="F19" s="14" t="n">
        <f aca="false">SUM(C19:E19)</f>
        <v>450000</v>
      </c>
      <c r="G19" s="14" t="n">
        <f aca="false">SUM(B19:E19)</f>
        <v>450000</v>
      </c>
      <c r="H19" s="21"/>
    </row>
    <row r="21" customFormat="false" ht="15" hidden="false" customHeight="true" outlineLevel="0" collapsed="false">
      <c r="A21" s="7" t="s">
        <v>95</v>
      </c>
      <c r="B21" s="8"/>
      <c r="C21" s="8"/>
      <c r="D21" s="8"/>
      <c r="E21" s="8"/>
      <c r="F21" s="8"/>
      <c r="G21" s="8"/>
      <c r="H21" s="8"/>
    </row>
    <row r="22" customFormat="false" ht="15" hidden="false" customHeight="true" outlineLevel="0" collapsed="false">
      <c r="A22" s="9" t="s">
        <v>96</v>
      </c>
      <c r="B22" s="19" t="n">
        <v>0</v>
      </c>
      <c r="C22" s="19" t="n">
        <v>0</v>
      </c>
      <c r="D22" s="19" t="n">
        <v>0</v>
      </c>
      <c r="E22" s="19" t="n">
        <v>0</v>
      </c>
      <c r="F22" s="11" t="n">
        <f aca="false">SUM(C22:E22)</f>
        <v>0</v>
      </c>
      <c r="G22" s="11" t="n">
        <f aca="false">SUM(B22:E22)</f>
        <v>0</v>
      </c>
      <c r="H22" s="21"/>
    </row>
    <row r="23" customFormat="false" ht="15" hidden="false" customHeight="true" outlineLevel="0" collapsed="false">
      <c r="A23" s="9" t="s">
        <v>96</v>
      </c>
      <c r="B23" s="19" t="n">
        <v>0</v>
      </c>
      <c r="C23" s="19" t="n">
        <v>0</v>
      </c>
      <c r="D23" s="19" t="n">
        <v>0</v>
      </c>
      <c r="E23" s="19" t="n">
        <v>0</v>
      </c>
      <c r="F23" s="11" t="n">
        <f aca="false">SUM(C23:E23)</f>
        <v>0</v>
      </c>
      <c r="G23" s="11" t="n">
        <f aca="false">SUM(B23:E23)</f>
        <v>0</v>
      </c>
      <c r="H23" s="21"/>
    </row>
    <row r="24" customFormat="false" ht="15" hidden="false" customHeight="true" outlineLevel="0" collapsed="false">
      <c r="A24" s="9" t="s">
        <v>97</v>
      </c>
      <c r="B24" s="19" t="n">
        <v>0</v>
      </c>
      <c r="C24" s="19" t="n">
        <v>0</v>
      </c>
      <c r="D24" s="19" t="n">
        <v>0</v>
      </c>
      <c r="E24" s="19" t="n">
        <v>0</v>
      </c>
      <c r="F24" s="11" t="n">
        <f aca="false">SUM(C24:E24)</f>
        <v>0</v>
      </c>
      <c r="G24" s="11" t="n">
        <f aca="false">SUM(B24:E24)</f>
        <v>0</v>
      </c>
      <c r="H24" s="21"/>
    </row>
    <row r="25" customFormat="false" ht="15" hidden="false" customHeight="true" outlineLevel="0" collapsed="false">
      <c r="A25" s="9" t="s">
        <v>98</v>
      </c>
      <c r="B25" s="19" t="n">
        <v>0</v>
      </c>
      <c r="C25" s="19" t="n">
        <v>0</v>
      </c>
      <c r="D25" s="19" t="n">
        <v>0</v>
      </c>
      <c r="E25" s="19" t="n">
        <v>0</v>
      </c>
      <c r="F25" s="11" t="n">
        <f aca="false">SUM(C25:E25)</f>
        <v>0</v>
      </c>
      <c r="G25" s="11" t="n">
        <f aca="false">SUM(B25:E25)</f>
        <v>0</v>
      </c>
      <c r="H25" s="21" t="s">
        <v>99</v>
      </c>
    </row>
    <row r="26" customFormat="false" ht="15" hidden="false" customHeight="true" outlineLevel="0" collapsed="false">
      <c r="A26" s="12" t="s">
        <v>100</v>
      </c>
      <c r="B26" s="13" t="n">
        <f aca="false">SUM(B22:B25)</f>
        <v>0</v>
      </c>
      <c r="C26" s="13" t="n">
        <f aca="false">SUM(C22:C25)</f>
        <v>0</v>
      </c>
      <c r="D26" s="13" t="n">
        <f aca="false">SUM(D22:D25)</f>
        <v>0</v>
      </c>
      <c r="E26" s="13" t="n">
        <f aca="false">SUM(E22:E25)</f>
        <v>0</v>
      </c>
      <c r="F26" s="14" t="n">
        <f aca="false">SUM(C26:E26)</f>
        <v>0</v>
      </c>
      <c r="G26" s="14" t="n">
        <f aca="false">SUM(B26:E26)</f>
        <v>0</v>
      </c>
      <c r="H26" s="21"/>
    </row>
    <row r="28" customFormat="false" ht="15" hidden="false" customHeight="true" outlineLevel="0" collapsed="false">
      <c r="A28" s="15" t="s">
        <v>101</v>
      </c>
      <c r="B28" s="16" t="n">
        <f aca="false">B19+B26</f>
        <v>0</v>
      </c>
      <c r="C28" s="16" t="n">
        <f aca="false">C19+C26</f>
        <v>150000</v>
      </c>
      <c r="D28" s="16" t="n">
        <f aca="false">D19+D26</f>
        <v>150000</v>
      </c>
      <c r="E28" s="16" t="n">
        <f aca="false">E19+E26</f>
        <v>150000</v>
      </c>
      <c r="F28" s="17" t="n">
        <f aca="false">SUM(C28:E28)</f>
        <v>450000</v>
      </c>
      <c r="G28" s="17" t="n">
        <f aca="false">SUM(B28:E28)</f>
        <v>450000</v>
      </c>
      <c r="H28" s="22"/>
    </row>
    <row r="30" customFormat="false" ht="15" hidden="false" customHeight="true" outlineLevel="0" collapsed="false">
      <c r="A30" s="7" t="s">
        <v>23</v>
      </c>
      <c r="B30" s="8"/>
      <c r="C30" s="8"/>
      <c r="D30" s="8"/>
      <c r="E30" s="8"/>
      <c r="F30" s="8"/>
      <c r="G30" s="8"/>
      <c r="H30" s="8"/>
    </row>
    <row r="31" customFormat="false" ht="15" hidden="false" customHeight="true" outlineLevel="0" collapsed="false">
      <c r="A31" s="12" t="s">
        <v>102</v>
      </c>
      <c r="B31" s="13" t="n">
        <f aca="false">B12-B28</f>
        <v>0</v>
      </c>
      <c r="C31" s="13" t="n">
        <f aca="false">C12-C28</f>
        <v>0</v>
      </c>
      <c r="D31" s="13" t="n">
        <f aca="false">D12-D28</f>
        <v>0</v>
      </c>
      <c r="E31" s="13" t="n">
        <f aca="false">E12-E28</f>
        <v>0</v>
      </c>
      <c r="F31" s="14" t="n">
        <f aca="false">SUM(C31:E31)</f>
        <v>0</v>
      </c>
      <c r="G31" s="14" t="n">
        <f aca="false">SUM(B31:E31)</f>
        <v>0</v>
      </c>
      <c r="H31" s="21" t="s">
        <v>103</v>
      </c>
    </row>
    <row r="33" customFormat="false" ht="15" hidden="false" customHeight="true" outlineLevel="0" collapsed="false">
      <c r="A33" s="9" t="s">
        <v>104</v>
      </c>
      <c r="G33" s="25" t="n">
        <v>450000</v>
      </c>
    </row>
    <row r="34" customFormat="false" ht="15" hidden="false" customHeight="true" outlineLevel="0" collapsed="false">
      <c r="A34" s="26" t="s">
        <v>105</v>
      </c>
      <c r="G34" s="11" t="n">
        <f aca="false">G33-G28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C36" activeCellId="0" sqref="C3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</cols>
  <sheetData>
    <row r="1" customFormat="false" ht="17.25" hidden="false" customHeight="true" outlineLevel="0" collapsed="false">
      <c r="A1" s="2" t="s">
        <v>106</v>
      </c>
    </row>
    <row r="2" customFormat="false" ht="15" hidden="false" customHeight="true" outlineLevel="0" collapsed="false">
      <c r="A2" s="3" t="s">
        <v>74</v>
      </c>
    </row>
    <row r="3" customFormat="false" ht="15" hidden="false" customHeight="true" outlineLevel="0" collapsed="false">
      <c r="A3" s="20" t="s">
        <v>107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</row>
    <row r="6" customFormat="false" ht="15" hidden="false" customHeight="true" outlineLevel="0" collapsed="false">
      <c r="A6" s="7" t="s">
        <v>76</v>
      </c>
      <c r="B6" s="8"/>
      <c r="C6" s="8"/>
      <c r="D6" s="8"/>
      <c r="E6" s="8"/>
      <c r="F6" s="8"/>
      <c r="G6" s="8"/>
    </row>
    <row r="7" customFormat="false" ht="15" hidden="false" customHeight="true" outlineLevel="0" collapsed="false">
      <c r="A7" s="9" t="s">
        <v>77</v>
      </c>
      <c r="B7" s="19" t="n">
        <v>0</v>
      </c>
      <c r="C7" s="19" t="n">
        <v>0</v>
      </c>
      <c r="D7" s="19" t="n">
        <v>0</v>
      </c>
      <c r="E7" s="19" t="n">
        <v>0</v>
      </c>
      <c r="F7" s="11" t="n">
        <f aca="false">SUM(C7:E7)</f>
        <v>0</v>
      </c>
      <c r="G7" s="11" t="n">
        <f aca="false">SUM(B7:E7)</f>
        <v>0</v>
      </c>
    </row>
    <row r="8" customFormat="false" ht="21.75" hidden="false" customHeight="true" outlineLevel="0" collapsed="false">
      <c r="A8" s="9" t="s">
        <v>79</v>
      </c>
      <c r="B8" s="19" t="n">
        <v>0</v>
      </c>
      <c r="C8" s="19" t="n">
        <v>0</v>
      </c>
      <c r="D8" s="19" t="n">
        <v>0</v>
      </c>
      <c r="E8" s="19" t="n">
        <v>0</v>
      </c>
      <c r="F8" s="11" t="n">
        <f aca="false">SUM(C8:E8)</f>
        <v>0</v>
      </c>
      <c r="G8" s="11" t="n">
        <f aca="false">SUM(B8:E8)</f>
        <v>0</v>
      </c>
    </row>
    <row r="9" customFormat="false" ht="21.75" hidden="false" customHeight="true" outlineLevel="0" collapsed="false">
      <c r="A9" s="9" t="s">
        <v>81</v>
      </c>
      <c r="B9" s="19" t="n">
        <v>0</v>
      </c>
      <c r="C9" s="19" t="n">
        <v>0</v>
      </c>
      <c r="D9" s="19" t="n">
        <v>0</v>
      </c>
      <c r="E9" s="19" t="n">
        <v>0</v>
      </c>
      <c r="F9" s="11" t="n">
        <f aca="false">SUM(C9:E9)</f>
        <v>0</v>
      </c>
      <c r="G9" s="11" t="n">
        <f aca="false">SUM(B9:E9)</f>
        <v>0</v>
      </c>
    </row>
    <row r="10" customFormat="false" ht="15" hidden="false" customHeight="true" outlineLevel="0" collapsed="false">
      <c r="A10" s="9" t="s">
        <v>83</v>
      </c>
      <c r="B10" s="23" t="n">
        <v>0</v>
      </c>
      <c r="C10" s="23" t="n">
        <f aca="false">MAX(0,B31)</f>
        <v>0</v>
      </c>
      <c r="D10" s="23" t="n">
        <f aca="false">MAX(0,C31)</f>
        <v>0</v>
      </c>
      <c r="E10" s="23" t="n">
        <f aca="false">MAX(0,D31)</f>
        <v>0</v>
      </c>
      <c r="F10" s="11" t="n">
        <f aca="false">SUM(C10:E10)</f>
        <v>0</v>
      </c>
      <c r="G10" s="11" t="n">
        <f aca="false">SUM(B10:E10)</f>
        <v>0</v>
      </c>
    </row>
    <row r="11" customFormat="false" ht="21.75" hidden="false" customHeight="true" outlineLevel="0" collapsed="false">
      <c r="A11" s="9" t="s">
        <v>85</v>
      </c>
      <c r="B11" s="10" t="n">
        <f aca="false">MAX(0,B28-B7-B8-B9-B10)</f>
        <v>0</v>
      </c>
      <c r="C11" s="10" t="n">
        <f aca="false">MAX(0,C28-C7-C8-C9-C10)</f>
        <v>800000</v>
      </c>
      <c r="D11" s="10" t="n">
        <f aca="false">MAX(0,D28-D7-D8-D9-D10)</f>
        <v>0</v>
      </c>
      <c r="E11" s="10" t="n">
        <f aca="false">MAX(0,E28-E7-E8-E9-E10)</f>
        <v>0</v>
      </c>
      <c r="F11" s="11" t="n">
        <f aca="false">SUM(C11:E11)</f>
        <v>800000</v>
      </c>
      <c r="G11" s="11" t="n">
        <f aca="false">SUM(B11:E11)</f>
        <v>800000</v>
      </c>
    </row>
    <row r="12" customFormat="false" ht="15" hidden="false" customHeight="true" outlineLevel="0" collapsed="false">
      <c r="A12" s="12" t="s">
        <v>87</v>
      </c>
      <c r="B12" s="13" t="n">
        <f aca="false">SUM(B7:B11)</f>
        <v>0</v>
      </c>
      <c r="C12" s="13" t="n">
        <f aca="false">SUM(C7:C11)</f>
        <v>800000</v>
      </c>
      <c r="D12" s="13" t="n">
        <f aca="false">SUM(D7:D11)</f>
        <v>0</v>
      </c>
      <c r="E12" s="13" t="n">
        <f aca="false">SUM(E7:E11)</f>
        <v>0</v>
      </c>
      <c r="F12" s="14" t="n">
        <f aca="false">SUM(C12:E12)</f>
        <v>800000</v>
      </c>
      <c r="G12" s="14" t="n">
        <f aca="false">SUM(B12:E12)</f>
        <v>800000</v>
      </c>
    </row>
    <row r="14" customFormat="false" ht="15" hidden="false" customHeight="true" outlineLevel="0" collapsed="false">
      <c r="A14" s="7" t="s">
        <v>88</v>
      </c>
      <c r="B14" s="8"/>
      <c r="C14" s="8"/>
      <c r="D14" s="8"/>
      <c r="E14" s="8"/>
      <c r="F14" s="8"/>
      <c r="G14" s="8"/>
    </row>
    <row r="15" customFormat="false" ht="15" hidden="false" customHeight="true" outlineLevel="0" collapsed="false">
      <c r="A15" s="9" t="s">
        <v>108</v>
      </c>
      <c r="B15" s="19" t="n">
        <v>0</v>
      </c>
      <c r="C15" s="19"/>
      <c r="D15" s="19" t="n">
        <v>0</v>
      </c>
      <c r="E15" s="19" t="n">
        <v>0</v>
      </c>
      <c r="F15" s="11" t="n">
        <f aca="false">SUM(C15:E15)</f>
        <v>0</v>
      </c>
      <c r="G15" s="11" t="n">
        <f aca="false">SUM(B15:E15)</f>
        <v>0</v>
      </c>
    </row>
    <row r="16" customFormat="false" ht="15" hidden="false" customHeight="true" outlineLevel="0" collapsed="false">
      <c r="A16" s="9" t="s">
        <v>91</v>
      </c>
      <c r="B16" s="19" t="n">
        <v>0</v>
      </c>
      <c r="C16" s="19" t="n">
        <v>0</v>
      </c>
      <c r="D16" s="19" t="n">
        <v>0</v>
      </c>
      <c r="E16" s="19" t="n">
        <v>0</v>
      </c>
      <c r="F16" s="11" t="n">
        <f aca="false">SUM(C16:E16)</f>
        <v>0</v>
      </c>
      <c r="G16" s="11" t="n">
        <f aca="false">SUM(B16:E16)</f>
        <v>0</v>
      </c>
    </row>
    <row r="17" customFormat="false" ht="15" hidden="false" customHeight="true" outlineLevel="0" collapsed="false">
      <c r="A17" s="9" t="s">
        <v>91</v>
      </c>
      <c r="B17" s="19" t="n">
        <v>0</v>
      </c>
      <c r="C17" s="19" t="n">
        <v>0</v>
      </c>
      <c r="D17" s="19" t="n">
        <v>0</v>
      </c>
      <c r="E17" s="19" t="n">
        <v>0</v>
      </c>
      <c r="F17" s="11" t="n">
        <f aca="false">SUM(C17:E17)</f>
        <v>0</v>
      </c>
      <c r="G17" s="11" t="n">
        <f aca="false">SUM(B17:E17)</f>
        <v>0</v>
      </c>
    </row>
    <row r="18" customFormat="false" ht="21.75" hidden="false" customHeight="true" outlineLevel="0" collapsed="false">
      <c r="A18" s="9" t="s">
        <v>92</v>
      </c>
      <c r="B18" s="19" t="n">
        <v>0</v>
      </c>
      <c r="C18" s="19" t="n">
        <v>0</v>
      </c>
      <c r="D18" s="19" t="n">
        <v>0</v>
      </c>
      <c r="E18" s="19" t="n">
        <v>0</v>
      </c>
      <c r="F18" s="11" t="n">
        <f aca="false">SUM(C18:E18)</f>
        <v>0</v>
      </c>
      <c r="G18" s="11" t="n">
        <f aca="false">SUM(B18:E18)</f>
        <v>0</v>
      </c>
    </row>
    <row r="19" customFormat="false" ht="15" hidden="false" customHeight="true" outlineLevel="0" collapsed="false">
      <c r="A19" s="12" t="s">
        <v>94</v>
      </c>
      <c r="B19" s="13" t="n">
        <f aca="false">SUM(B15:B18)</f>
        <v>0</v>
      </c>
      <c r="C19" s="13" t="n">
        <f aca="false">SUM(C15:C18)</f>
        <v>0</v>
      </c>
      <c r="D19" s="13" t="n">
        <f aca="false">SUM(D15:D18)</f>
        <v>0</v>
      </c>
      <c r="E19" s="13" t="n">
        <f aca="false">SUM(E15:E18)</f>
        <v>0</v>
      </c>
      <c r="F19" s="14" t="n">
        <f aca="false">SUM(C19:E19)</f>
        <v>0</v>
      </c>
      <c r="G19" s="14" t="n">
        <f aca="false">SUM(B19:E19)</f>
        <v>0</v>
      </c>
    </row>
    <row r="21" customFormat="false" ht="15" hidden="false" customHeight="true" outlineLevel="0" collapsed="false">
      <c r="A21" s="7" t="s">
        <v>95</v>
      </c>
      <c r="B21" s="8"/>
      <c r="C21" s="8"/>
      <c r="D21" s="8"/>
      <c r="E21" s="8"/>
      <c r="F21" s="8"/>
      <c r="G21" s="8"/>
    </row>
    <row r="22" customFormat="false" ht="15" hidden="false" customHeight="true" outlineLevel="0" collapsed="false">
      <c r="A22" s="9" t="s">
        <v>109</v>
      </c>
      <c r="B22" s="19" t="n">
        <v>0</v>
      </c>
      <c r="C22" s="19" t="n">
        <v>800000</v>
      </c>
      <c r="D22" s="19" t="n">
        <v>0</v>
      </c>
      <c r="E22" s="19" t="n">
        <v>0</v>
      </c>
      <c r="F22" s="11" t="n">
        <f aca="false">SUM(C22:E22)</f>
        <v>800000</v>
      </c>
      <c r="G22" s="11" t="n">
        <f aca="false">SUM(B22:E22)</f>
        <v>800000</v>
      </c>
    </row>
    <row r="23" customFormat="false" ht="15" hidden="false" customHeight="true" outlineLevel="0" collapsed="false">
      <c r="A23" s="9" t="s">
        <v>96</v>
      </c>
      <c r="B23" s="19" t="n">
        <v>0</v>
      </c>
      <c r="C23" s="19" t="n">
        <v>0</v>
      </c>
      <c r="D23" s="19" t="n">
        <v>0</v>
      </c>
      <c r="E23" s="19" t="n">
        <v>0</v>
      </c>
      <c r="F23" s="11" t="n">
        <f aca="false">SUM(C23:E23)</f>
        <v>0</v>
      </c>
      <c r="G23" s="11" t="n">
        <f aca="false">SUM(B23:E23)</f>
        <v>0</v>
      </c>
    </row>
    <row r="24" customFormat="false" ht="15" hidden="false" customHeight="true" outlineLevel="0" collapsed="false">
      <c r="A24" s="9" t="s">
        <v>97</v>
      </c>
      <c r="B24" s="19" t="n">
        <v>0</v>
      </c>
      <c r="C24" s="19" t="n">
        <v>0</v>
      </c>
      <c r="D24" s="19" t="n">
        <v>0</v>
      </c>
      <c r="E24" s="19" t="n">
        <v>0</v>
      </c>
      <c r="F24" s="11" t="n">
        <f aca="false">SUM(C24:E24)</f>
        <v>0</v>
      </c>
      <c r="G24" s="11" t="n">
        <f aca="false">SUM(B24:E24)</f>
        <v>0</v>
      </c>
    </row>
    <row r="25" customFormat="false" ht="15" hidden="false" customHeight="true" outlineLevel="0" collapsed="false">
      <c r="A25" s="9" t="s">
        <v>98</v>
      </c>
      <c r="B25" s="19" t="n">
        <v>0</v>
      </c>
      <c r="C25" s="19" t="n">
        <v>0</v>
      </c>
      <c r="D25" s="19" t="n">
        <v>0</v>
      </c>
      <c r="E25" s="19" t="n">
        <v>0</v>
      </c>
      <c r="F25" s="11" t="n">
        <f aca="false">SUM(C25:E25)</f>
        <v>0</v>
      </c>
      <c r="G25" s="11" t="n">
        <f aca="false">SUM(B25:E25)</f>
        <v>0</v>
      </c>
    </row>
    <row r="26" customFormat="false" ht="15" hidden="false" customHeight="true" outlineLevel="0" collapsed="false">
      <c r="A26" s="12" t="s">
        <v>100</v>
      </c>
      <c r="B26" s="13" t="n">
        <f aca="false">SUM(B22:B25)</f>
        <v>0</v>
      </c>
      <c r="C26" s="13" t="n">
        <f aca="false">SUM(C22:C25)</f>
        <v>800000</v>
      </c>
      <c r="D26" s="13" t="n">
        <f aca="false">SUM(D22:D25)</f>
        <v>0</v>
      </c>
      <c r="E26" s="13" t="n">
        <f aca="false">SUM(E22:E25)</f>
        <v>0</v>
      </c>
      <c r="F26" s="14" t="n">
        <f aca="false">SUM(C26:E26)</f>
        <v>800000</v>
      </c>
      <c r="G26" s="14" t="n">
        <f aca="false">SUM(B26:E26)</f>
        <v>800000</v>
      </c>
    </row>
    <row r="28" customFormat="false" ht="15" hidden="false" customHeight="true" outlineLevel="0" collapsed="false">
      <c r="A28" s="15" t="s">
        <v>101</v>
      </c>
      <c r="B28" s="16" t="n">
        <f aca="false">B19+B26</f>
        <v>0</v>
      </c>
      <c r="C28" s="16" t="n">
        <f aca="false">C19+C26</f>
        <v>800000</v>
      </c>
      <c r="D28" s="16" t="n">
        <f aca="false">D19+D26</f>
        <v>0</v>
      </c>
      <c r="E28" s="16" t="n">
        <f aca="false">E19+E26</f>
        <v>0</v>
      </c>
      <c r="F28" s="17" t="n">
        <f aca="false">SUM(C28:E28)</f>
        <v>800000</v>
      </c>
      <c r="G28" s="17" t="n">
        <f aca="false">SUM(B28:E28)</f>
        <v>800000</v>
      </c>
    </row>
    <row r="30" customFormat="false" ht="15" hidden="false" customHeight="true" outlineLevel="0" collapsed="false">
      <c r="A30" s="7" t="s">
        <v>23</v>
      </c>
      <c r="B30" s="8"/>
      <c r="C30" s="8"/>
      <c r="D30" s="8"/>
      <c r="E30" s="8"/>
      <c r="F30" s="8"/>
      <c r="G30" s="8"/>
    </row>
    <row r="31" customFormat="false" ht="15" hidden="false" customHeight="true" outlineLevel="0" collapsed="false">
      <c r="A31" s="12" t="s">
        <v>102</v>
      </c>
      <c r="B31" s="13" t="n">
        <f aca="false">B12-B28</f>
        <v>0</v>
      </c>
      <c r="C31" s="13" t="n">
        <f aca="false">C12-C28</f>
        <v>0</v>
      </c>
      <c r="D31" s="13" t="n">
        <f aca="false">D12-D28</f>
        <v>0</v>
      </c>
      <c r="E31" s="13" t="n">
        <f aca="false">E12-E28</f>
        <v>0</v>
      </c>
      <c r="F31" s="14" t="n">
        <f aca="false">SUM(C31:E31)</f>
        <v>0</v>
      </c>
      <c r="G31" s="14" t="n">
        <f aca="false">SUM(B31:E31)</f>
        <v>0</v>
      </c>
    </row>
    <row r="33" customFormat="false" ht="15" hidden="false" customHeight="true" outlineLevel="0" collapsed="false">
      <c r="A33" s="9" t="s">
        <v>104</v>
      </c>
      <c r="G33" s="25" t="n">
        <v>800000</v>
      </c>
    </row>
    <row r="34" customFormat="false" ht="15" hidden="false" customHeight="true" outlineLevel="0" collapsed="false">
      <c r="A34" s="26" t="s">
        <v>105</v>
      </c>
      <c r="G34" s="11" t="n">
        <f aca="false">G33-G28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110</v>
      </c>
    </row>
    <row r="2" customFormat="false" ht="15" hidden="false" customHeight="true" outlineLevel="0" collapsed="false">
      <c r="A2" s="3" t="s">
        <v>74</v>
      </c>
    </row>
    <row r="3" customFormat="false" ht="15" hidden="false" customHeight="true" outlineLevel="0" collapsed="false">
      <c r="A3" s="20" t="s">
        <v>111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36</v>
      </c>
    </row>
    <row r="6" customFormat="false" ht="15" hidden="false" customHeight="true" outlineLevel="0" collapsed="false">
      <c r="A6" s="7" t="s">
        <v>76</v>
      </c>
      <c r="B6" s="8"/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9" t="s">
        <v>77</v>
      </c>
      <c r="B7" s="19" t="n">
        <v>0</v>
      </c>
      <c r="C7" s="19" t="n">
        <v>0</v>
      </c>
      <c r="D7" s="19" t="n">
        <v>0</v>
      </c>
      <c r="E7" s="19" t="n">
        <v>0</v>
      </c>
      <c r="F7" s="11" t="n">
        <f aca="false">SUM(C7:E7)</f>
        <v>0</v>
      </c>
      <c r="G7" s="11" t="n">
        <f aca="false">SUM(B7:E7)</f>
        <v>0</v>
      </c>
      <c r="H7" s="21" t="s">
        <v>78</v>
      </c>
    </row>
    <row r="8" customFormat="false" ht="21.75" hidden="false" customHeight="true" outlineLevel="0" collapsed="false">
      <c r="A8" s="9" t="s">
        <v>79</v>
      </c>
      <c r="B8" s="19" t="n">
        <v>0</v>
      </c>
      <c r="C8" s="19" t="n">
        <v>0</v>
      </c>
      <c r="D8" s="19" t="n">
        <v>0</v>
      </c>
      <c r="E8" s="19" t="n">
        <v>0</v>
      </c>
      <c r="F8" s="11" t="n">
        <f aca="false">SUM(C8:E8)</f>
        <v>0</v>
      </c>
      <c r="G8" s="11" t="n">
        <f aca="false">SUM(B8:E8)</f>
        <v>0</v>
      </c>
      <c r="H8" s="21" t="s">
        <v>80</v>
      </c>
    </row>
    <row r="9" customFormat="false" ht="21.75" hidden="false" customHeight="true" outlineLevel="0" collapsed="false">
      <c r="A9" s="9" t="s">
        <v>81</v>
      </c>
      <c r="B9" s="19" t="n">
        <v>0</v>
      </c>
      <c r="C9" s="19" t="n">
        <v>0</v>
      </c>
      <c r="D9" s="19" t="n">
        <v>0</v>
      </c>
      <c r="E9" s="19" t="n">
        <v>0</v>
      </c>
      <c r="F9" s="11" t="n">
        <f aca="false">SUM(C9:E9)</f>
        <v>0</v>
      </c>
      <c r="G9" s="11" t="n">
        <f aca="false">SUM(B9:E9)</f>
        <v>0</v>
      </c>
      <c r="H9" s="21" t="s">
        <v>82</v>
      </c>
    </row>
    <row r="10" customFormat="false" ht="15" hidden="false" customHeight="true" outlineLevel="0" collapsed="false">
      <c r="A10" s="9" t="s">
        <v>83</v>
      </c>
      <c r="B10" s="23" t="n">
        <v>0</v>
      </c>
      <c r="C10" s="23" t="n">
        <f aca="false">MAX(0,B31)</f>
        <v>0</v>
      </c>
      <c r="D10" s="23" t="n">
        <f aca="false">MAX(0,C31)</f>
        <v>0</v>
      </c>
      <c r="E10" s="23" t="n">
        <f aca="false">MAX(0,D31)</f>
        <v>0</v>
      </c>
      <c r="F10" s="11" t="n">
        <f aca="false">SUM(C10:E10)</f>
        <v>0</v>
      </c>
      <c r="G10" s="11" t="n">
        <f aca="false">SUM(B10:E10)</f>
        <v>0</v>
      </c>
      <c r="H10" s="24" t="s">
        <v>84</v>
      </c>
    </row>
    <row r="11" customFormat="false" ht="21.75" hidden="false" customHeight="true" outlineLevel="0" collapsed="false">
      <c r="A11" s="9" t="s">
        <v>85</v>
      </c>
      <c r="B11" s="10" t="n">
        <f aca="false">MAX(0,B28-B7-B8-B9-B10)</f>
        <v>43000</v>
      </c>
      <c r="C11" s="10" t="n">
        <f aca="false">MAX(0,C28-C7-C8-C9-C10)</f>
        <v>43000</v>
      </c>
      <c r="D11" s="10" t="n">
        <f aca="false">MAX(0,D28-D7-D8-D9-D10)</f>
        <v>43000</v>
      </c>
      <c r="E11" s="10" t="n">
        <f aca="false">MAX(0,E28-E7-E8-E9-E10)</f>
        <v>43000</v>
      </c>
      <c r="F11" s="11" t="n">
        <f aca="false">SUM(C11:E11)</f>
        <v>129000</v>
      </c>
      <c r="G11" s="11" t="n">
        <f aca="false">SUM(B11:E11)</f>
        <v>172000</v>
      </c>
      <c r="H11" s="21" t="s">
        <v>86</v>
      </c>
    </row>
    <row r="12" customFormat="false" ht="15" hidden="false" customHeight="true" outlineLevel="0" collapsed="false">
      <c r="A12" s="12" t="s">
        <v>87</v>
      </c>
      <c r="B12" s="13" t="n">
        <f aca="false">SUM(B7:B11)</f>
        <v>43000</v>
      </c>
      <c r="C12" s="13" t="n">
        <f aca="false">SUM(C7:C11)</f>
        <v>43000</v>
      </c>
      <c r="D12" s="13" t="n">
        <f aca="false">SUM(D7:D11)</f>
        <v>43000</v>
      </c>
      <c r="E12" s="13" t="n">
        <f aca="false">SUM(E7:E11)</f>
        <v>43000</v>
      </c>
      <c r="F12" s="14" t="n">
        <f aca="false">SUM(C12:E12)</f>
        <v>129000</v>
      </c>
      <c r="G12" s="14" t="n">
        <f aca="false">SUM(B12:E12)</f>
        <v>172000</v>
      </c>
      <c r="H12" s="21"/>
    </row>
    <row r="14" customFormat="false" ht="15" hidden="false" customHeight="true" outlineLevel="0" collapsed="false">
      <c r="A14" s="7" t="s">
        <v>88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9" t="s">
        <v>91</v>
      </c>
      <c r="B15" s="19" t="n">
        <v>0</v>
      </c>
      <c r="C15" s="19" t="n">
        <v>0</v>
      </c>
      <c r="D15" s="19" t="n">
        <v>0</v>
      </c>
      <c r="E15" s="19" t="n">
        <v>0</v>
      </c>
      <c r="F15" s="11" t="n">
        <f aca="false">SUM(C15:E15)</f>
        <v>0</v>
      </c>
      <c r="G15" s="11" t="n">
        <f aca="false">SUM(B15:E15)</f>
        <v>0</v>
      </c>
      <c r="H15" s="21"/>
    </row>
    <row r="16" customFormat="false" ht="15" hidden="false" customHeight="true" outlineLevel="0" collapsed="false">
      <c r="A16" s="9" t="s">
        <v>91</v>
      </c>
      <c r="B16" s="19" t="n">
        <v>0</v>
      </c>
      <c r="C16" s="19" t="n">
        <v>0</v>
      </c>
      <c r="D16" s="19" t="n">
        <v>0</v>
      </c>
      <c r="E16" s="19" t="n">
        <v>0</v>
      </c>
      <c r="F16" s="11" t="n">
        <f aca="false">SUM(C16:E16)</f>
        <v>0</v>
      </c>
      <c r="G16" s="11" t="n">
        <f aca="false">SUM(B16:E16)</f>
        <v>0</v>
      </c>
      <c r="H16" s="21"/>
    </row>
    <row r="17" customFormat="false" ht="15" hidden="false" customHeight="true" outlineLevel="0" collapsed="false">
      <c r="A17" s="9" t="s">
        <v>91</v>
      </c>
      <c r="B17" s="19" t="n">
        <v>0</v>
      </c>
      <c r="C17" s="19" t="n">
        <v>0</v>
      </c>
      <c r="D17" s="19" t="n">
        <v>0</v>
      </c>
      <c r="E17" s="19" t="n">
        <v>0</v>
      </c>
      <c r="F17" s="11" t="n">
        <f aca="false">SUM(C17:E17)</f>
        <v>0</v>
      </c>
      <c r="G17" s="11" t="n">
        <f aca="false">SUM(B17:E17)</f>
        <v>0</v>
      </c>
      <c r="H17" s="21"/>
    </row>
    <row r="18" customFormat="false" ht="21.75" hidden="false" customHeight="true" outlineLevel="0" collapsed="false">
      <c r="A18" s="9" t="s">
        <v>92</v>
      </c>
      <c r="B18" s="19" t="n">
        <v>0</v>
      </c>
      <c r="C18" s="19" t="n">
        <v>0</v>
      </c>
      <c r="D18" s="19" t="n">
        <v>0</v>
      </c>
      <c r="E18" s="19" t="n">
        <v>0</v>
      </c>
      <c r="F18" s="11" t="n">
        <f aca="false">SUM(C18:E18)</f>
        <v>0</v>
      </c>
      <c r="G18" s="11" t="n">
        <f aca="false">SUM(B18:E18)</f>
        <v>0</v>
      </c>
      <c r="H18" s="21" t="s">
        <v>93</v>
      </c>
    </row>
    <row r="19" customFormat="false" ht="15" hidden="false" customHeight="true" outlineLevel="0" collapsed="false">
      <c r="A19" s="12" t="s">
        <v>94</v>
      </c>
      <c r="B19" s="13" t="n">
        <f aca="false">SUM(B15:B18)</f>
        <v>0</v>
      </c>
      <c r="C19" s="13" t="n">
        <f aca="false">SUM(C15:C18)</f>
        <v>0</v>
      </c>
      <c r="D19" s="13" t="n">
        <f aca="false">SUM(D15:D18)</f>
        <v>0</v>
      </c>
      <c r="E19" s="13" t="n">
        <f aca="false">SUM(E15:E18)</f>
        <v>0</v>
      </c>
      <c r="F19" s="14" t="n">
        <f aca="false">SUM(C19:E19)</f>
        <v>0</v>
      </c>
      <c r="G19" s="14" t="n">
        <f aca="false">SUM(B19:E19)</f>
        <v>0</v>
      </c>
      <c r="H19" s="21"/>
    </row>
    <row r="21" customFormat="false" ht="15" hidden="false" customHeight="true" outlineLevel="0" collapsed="false">
      <c r="A21" s="7" t="s">
        <v>95</v>
      </c>
      <c r="B21" s="8"/>
      <c r="C21" s="8"/>
      <c r="D21" s="8"/>
      <c r="E21" s="8"/>
      <c r="F21" s="8"/>
      <c r="G21" s="8"/>
      <c r="H21" s="8"/>
    </row>
    <row r="22" customFormat="false" ht="21.75" hidden="false" customHeight="true" outlineLevel="0" collapsed="false">
      <c r="A22" s="9" t="s">
        <v>112</v>
      </c>
      <c r="B22" s="19" t="n">
        <v>43000</v>
      </c>
      <c r="C22" s="19" t="n">
        <v>43000</v>
      </c>
      <c r="D22" s="19" t="n">
        <v>43000</v>
      </c>
      <c r="E22" s="19" t="n">
        <v>43000</v>
      </c>
      <c r="F22" s="11" t="n">
        <f aca="false">SUM(C22:E22)</f>
        <v>129000</v>
      </c>
      <c r="G22" s="11" t="n">
        <f aca="false">SUM(B22:E22)</f>
        <v>172000</v>
      </c>
      <c r="H22" s="21" t="s">
        <v>113</v>
      </c>
    </row>
    <row r="23" customFormat="false" ht="15" hidden="false" customHeight="true" outlineLevel="0" collapsed="false">
      <c r="A23" s="9" t="s">
        <v>96</v>
      </c>
      <c r="B23" s="19" t="n">
        <v>0</v>
      </c>
      <c r="C23" s="19" t="n">
        <v>0</v>
      </c>
      <c r="D23" s="19" t="n">
        <v>0</v>
      </c>
      <c r="E23" s="19" t="n">
        <v>0</v>
      </c>
      <c r="F23" s="11" t="n">
        <f aca="false">SUM(C23:E23)</f>
        <v>0</v>
      </c>
      <c r="G23" s="11" t="n">
        <f aca="false">SUM(B23:E23)</f>
        <v>0</v>
      </c>
      <c r="H23" s="21"/>
    </row>
    <row r="24" customFormat="false" ht="15" hidden="false" customHeight="true" outlineLevel="0" collapsed="false">
      <c r="A24" s="9" t="s">
        <v>97</v>
      </c>
      <c r="B24" s="19" t="n">
        <v>0</v>
      </c>
      <c r="C24" s="19" t="n">
        <v>0</v>
      </c>
      <c r="D24" s="19" t="n">
        <v>0</v>
      </c>
      <c r="E24" s="19" t="n">
        <v>0</v>
      </c>
      <c r="F24" s="11" t="n">
        <f aca="false">SUM(C24:E24)</f>
        <v>0</v>
      </c>
      <c r="G24" s="11" t="n">
        <f aca="false">SUM(B24:E24)</f>
        <v>0</v>
      </c>
      <c r="H24" s="21"/>
    </row>
    <row r="25" customFormat="false" ht="15" hidden="false" customHeight="true" outlineLevel="0" collapsed="false">
      <c r="A25" s="9" t="s">
        <v>98</v>
      </c>
      <c r="B25" s="19" t="n">
        <v>0</v>
      </c>
      <c r="C25" s="19" t="n">
        <v>0</v>
      </c>
      <c r="D25" s="19" t="n">
        <v>0</v>
      </c>
      <c r="E25" s="19" t="n">
        <v>0</v>
      </c>
      <c r="F25" s="11" t="n">
        <f aca="false">SUM(C25:E25)</f>
        <v>0</v>
      </c>
      <c r="G25" s="11" t="n">
        <f aca="false">SUM(B25:E25)</f>
        <v>0</v>
      </c>
      <c r="H25" s="21" t="s">
        <v>99</v>
      </c>
    </row>
    <row r="26" customFormat="false" ht="15" hidden="false" customHeight="true" outlineLevel="0" collapsed="false">
      <c r="A26" s="12" t="s">
        <v>100</v>
      </c>
      <c r="B26" s="13" t="n">
        <f aca="false">SUM(B22:B25)</f>
        <v>43000</v>
      </c>
      <c r="C26" s="13" t="n">
        <f aca="false">SUM(C22:C25)</f>
        <v>43000</v>
      </c>
      <c r="D26" s="13" t="n">
        <f aca="false">SUM(D22:D25)</f>
        <v>43000</v>
      </c>
      <c r="E26" s="13" t="n">
        <f aca="false">SUM(E22:E25)</f>
        <v>43000</v>
      </c>
      <c r="F26" s="14" t="n">
        <f aca="false">SUM(C26:E26)</f>
        <v>129000</v>
      </c>
      <c r="G26" s="14" t="n">
        <f aca="false">SUM(B26:E26)</f>
        <v>172000</v>
      </c>
      <c r="H26" s="21"/>
    </row>
    <row r="28" customFormat="false" ht="15" hidden="false" customHeight="true" outlineLevel="0" collapsed="false">
      <c r="A28" s="15" t="s">
        <v>101</v>
      </c>
      <c r="B28" s="16" t="n">
        <f aca="false">B19+B26</f>
        <v>43000</v>
      </c>
      <c r="C28" s="16" t="n">
        <f aca="false">C19+C26</f>
        <v>43000</v>
      </c>
      <c r="D28" s="16" t="n">
        <f aca="false">D19+D26</f>
        <v>43000</v>
      </c>
      <c r="E28" s="16" t="n">
        <f aca="false">E19+E26</f>
        <v>43000</v>
      </c>
      <c r="F28" s="17" t="n">
        <f aca="false">SUM(C28:E28)</f>
        <v>129000</v>
      </c>
      <c r="G28" s="17" t="n">
        <f aca="false">SUM(B28:E28)</f>
        <v>172000</v>
      </c>
      <c r="H28" s="22"/>
    </row>
    <row r="30" customFormat="false" ht="15" hidden="false" customHeight="true" outlineLevel="0" collapsed="false">
      <c r="A30" s="7" t="s">
        <v>23</v>
      </c>
      <c r="B30" s="8"/>
      <c r="C30" s="8"/>
      <c r="D30" s="8"/>
      <c r="E30" s="8"/>
      <c r="F30" s="8"/>
      <c r="G30" s="8"/>
      <c r="H30" s="8"/>
    </row>
    <row r="31" customFormat="false" ht="15" hidden="false" customHeight="true" outlineLevel="0" collapsed="false">
      <c r="A31" s="12" t="s">
        <v>102</v>
      </c>
      <c r="B31" s="13" t="n">
        <f aca="false">B12-B28</f>
        <v>0</v>
      </c>
      <c r="C31" s="13" t="n">
        <f aca="false">C12-C28</f>
        <v>0</v>
      </c>
      <c r="D31" s="13" t="n">
        <f aca="false">D12-D28</f>
        <v>0</v>
      </c>
      <c r="E31" s="13" t="n">
        <f aca="false">E12-E28</f>
        <v>0</v>
      </c>
      <c r="F31" s="14" t="n">
        <f aca="false">SUM(C31:E31)</f>
        <v>0</v>
      </c>
      <c r="G31" s="14" t="n">
        <f aca="false">SUM(B31:E31)</f>
        <v>0</v>
      </c>
      <c r="H31" s="21" t="s">
        <v>103</v>
      </c>
    </row>
    <row r="33" customFormat="false" ht="15" hidden="false" customHeight="true" outlineLevel="0" collapsed="false">
      <c r="A33" s="9" t="s">
        <v>104</v>
      </c>
      <c r="G33" s="25" t="n">
        <v>172000</v>
      </c>
    </row>
    <row r="34" customFormat="false" ht="15" hidden="false" customHeight="true" outlineLevel="0" collapsed="false">
      <c r="A34" s="26" t="s">
        <v>105</v>
      </c>
      <c r="G34" s="11" t="n">
        <f aca="false">G33-G28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H1" activeCellId="0" sqref="H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</cols>
  <sheetData>
    <row r="1" customFormat="false" ht="17.25" hidden="false" customHeight="true" outlineLevel="0" collapsed="false">
      <c r="A1" s="2" t="s">
        <v>114</v>
      </c>
    </row>
    <row r="2" customFormat="false" ht="15" hidden="false" customHeight="true" outlineLevel="0" collapsed="false">
      <c r="A2" s="3" t="s">
        <v>74</v>
      </c>
    </row>
    <row r="3" customFormat="false" ht="15" hidden="false" customHeight="true" outlineLevel="0" collapsed="false">
      <c r="A3" s="20" t="s">
        <v>115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</row>
    <row r="6" customFormat="false" ht="15" hidden="false" customHeight="true" outlineLevel="0" collapsed="false">
      <c r="A6" s="7" t="s">
        <v>76</v>
      </c>
      <c r="B6" s="8"/>
      <c r="C6" s="8"/>
      <c r="D6" s="8"/>
      <c r="E6" s="8"/>
      <c r="F6" s="8"/>
      <c r="G6" s="8"/>
    </row>
    <row r="7" customFormat="false" ht="15" hidden="false" customHeight="true" outlineLevel="0" collapsed="false">
      <c r="A7" s="9" t="s">
        <v>77</v>
      </c>
      <c r="B7" s="19" t="n">
        <v>0</v>
      </c>
      <c r="C7" s="19" t="n">
        <v>0</v>
      </c>
      <c r="D7" s="19" t="n">
        <v>0</v>
      </c>
      <c r="E7" s="19" t="n">
        <v>0</v>
      </c>
      <c r="F7" s="11" t="n">
        <f aca="false">SUM(C7:E7)</f>
        <v>0</v>
      </c>
      <c r="G7" s="11" t="n">
        <f aca="false">SUM(B7:E7)</f>
        <v>0</v>
      </c>
    </row>
    <row r="8" customFormat="false" ht="21.75" hidden="false" customHeight="true" outlineLevel="0" collapsed="false">
      <c r="A8" s="9" t="s">
        <v>79</v>
      </c>
      <c r="B8" s="19" t="n">
        <v>0</v>
      </c>
      <c r="C8" s="19" t="n">
        <v>0</v>
      </c>
      <c r="D8" s="19" t="n">
        <v>0</v>
      </c>
      <c r="E8" s="19" t="n">
        <v>0</v>
      </c>
      <c r="F8" s="11" t="n">
        <f aca="false">SUM(C8:E8)</f>
        <v>0</v>
      </c>
      <c r="G8" s="11" t="n">
        <f aca="false">SUM(B8:E8)</f>
        <v>0</v>
      </c>
    </row>
    <row r="9" customFormat="false" ht="21.75" hidden="false" customHeight="true" outlineLevel="0" collapsed="false">
      <c r="A9" s="9" t="s">
        <v>81</v>
      </c>
      <c r="B9" s="19" t="n">
        <v>0</v>
      </c>
      <c r="C9" s="19" t="n">
        <v>0</v>
      </c>
      <c r="D9" s="19" t="n">
        <v>0</v>
      </c>
      <c r="E9" s="19" t="n">
        <v>0</v>
      </c>
      <c r="F9" s="11" t="n">
        <f aca="false">SUM(C9:E9)</f>
        <v>0</v>
      </c>
      <c r="G9" s="11" t="n">
        <f aca="false">SUM(B9:E9)</f>
        <v>0</v>
      </c>
    </row>
    <row r="10" customFormat="false" ht="15" hidden="false" customHeight="true" outlineLevel="0" collapsed="false">
      <c r="A10" s="9" t="s">
        <v>83</v>
      </c>
      <c r="B10" s="23" t="n">
        <v>0</v>
      </c>
      <c r="C10" s="23" t="n">
        <f aca="false">MAX(0,B31)</f>
        <v>0</v>
      </c>
      <c r="D10" s="23" t="n">
        <f aca="false">MAX(0,C31)</f>
        <v>0</v>
      </c>
      <c r="E10" s="23" t="n">
        <f aca="false">MAX(0,D31)</f>
        <v>0</v>
      </c>
      <c r="F10" s="11" t="n">
        <f aca="false">SUM(C10:E10)</f>
        <v>0</v>
      </c>
      <c r="G10" s="11" t="n">
        <f aca="false">SUM(B10:E10)</f>
        <v>0</v>
      </c>
    </row>
    <row r="11" customFormat="false" ht="21.75" hidden="false" customHeight="true" outlineLevel="0" collapsed="false">
      <c r="A11" s="9" t="s">
        <v>85</v>
      </c>
      <c r="B11" s="10" t="n">
        <f aca="false">MAX(0,B28-B7-B8-B9-B10)</f>
        <v>70000</v>
      </c>
      <c r="C11" s="10" t="n">
        <f aca="false">MAX(0,C28-C7-C8-C9-C10)</f>
        <v>108350</v>
      </c>
      <c r="D11" s="10" t="n">
        <f aca="false">MAX(0,D28-D7-D8-D9-D10)</f>
        <v>2048350</v>
      </c>
      <c r="E11" s="10" t="n">
        <f aca="false">MAX(0,E28-E7-E8-E9-E10)</f>
        <v>67850</v>
      </c>
      <c r="F11" s="11" t="n">
        <f aca="false">SUM(C11:E11)</f>
        <v>2224550</v>
      </c>
      <c r="G11" s="11" t="n">
        <f aca="false">SUM(B11:E11)</f>
        <v>2294550</v>
      </c>
    </row>
    <row r="12" customFormat="false" ht="15" hidden="false" customHeight="true" outlineLevel="0" collapsed="false">
      <c r="A12" s="12" t="s">
        <v>87</v>
      </c>
      <c r="B12" s="13" t="n">
        <f aca="false">SUM(B7:B11)</f>
        <v>70000</v>
      </c>
      <c r="C12" s="13" t="n">
        <f aca="false">SUM(C7:C11)</f>
        <v>108350</v>
      </c>
      <c r="D12" s="13" t="n">
        <f aca="false">SUM(D7:D11)</f>
        <v>2048350</v>
      </c>
      <c r="E12" s="13" t="n">
        <f aca="false">SUM(E7:E11)</f>
        <v>67850</v>
      </c>
      <c r="F12" s="14" t="n">
        <f aca="false">SUM(C12:E12)</f>
        <v>2224550</v>
      </c>
      <c r="G12" s="14" t="n">
        <f aca="false">SUM(B12:E12)</f>
        <v>2294550</v>
      </c>
    </row>
    <row r="14" customFormat="false" ht="15" hidden="false" customHeight="true" outlineLevel="0" collapsed="false">
      <c r="A14" s="7" t="s">
        <v>88</v>
      </c>
      <c r="B14" s="8"/>
      <c r="C14" s="8"/>
      <c r="D14" s="8"/>
      <c r="E14" s="8"/>
      <c r="F14" s="8"/>
      <c r="G14" s="8"/>
    </row>
    <row r="15" customFormat="false" ht="15" hidden="false" customHeight="true" outlineLevel="0" collapsed="false">
      <c r="A15" s="9" t="s">
        <v>116</v>
      </c>
      <c r="B15" s="19" t="n">
        <v>0</v>
      </c>
      <c r="C15" s="19" t="n">
        <v>108350</v>
      </c>
      <c r="D15" s="19" t="n">
        <v>48350</v>
      </c>
      <c r="E15" s="19" t="n">
        <v>67850</v>
      </c>
      <c r="F15" s="11" t="n">
        <f aca="false">SUM(C15:E15)</f>
        <v>224550</v>
      </c>
      <c r="G15" s="11" t="n">
        <f aca="false">SUM(B15:E15)</f>
        <v>224550</v>
      </c>
    </row>
    <row r="16" customFormat="false" ht="15" hidden="false" customHeight="true" outlineLevel="0" collapsed="false">
      <c r="A16" s="9" t="s">
        <v>117</v>
      </c>
      <c r="B16" s="19" t="n">
        <v>0</v>
      </c>
      <c r="C16" s="19" t="n">
        <v>0</v>
      </c>
      <c r="D16" s="19" t="n">
        <v>2000000</v>
      </c>
      <c r="E16" s="19" t="n">
        <v>0</v>
      </c>
      <c r="F16" s="11" t="n">
        <f aca="false">SUM(C16:E16)</f>
        <v>2000000</v>
      </c>
      <c r="G16" s="11" t="n">
        <f aca="false">SUM(B16:E16)</f>
        <v>2000000</v>
      </c>
    </row>
    <row r="17" customFormat="false" ht="15" hidden="false" customHeight="true" outlineLevel="0" collapsed="false">
      <c r="A17" s="9" t="s">
        <v>91</v>
      </c>
      <c r="B17" s="19" t="n">
        <v>0</v>
      </c>
      <c r="C17" s="19" t="n">
        <v>0</v>
      </c>
      <c r="D17" s="19" t="n">
        <v>0</v>
      </c>
      <c r="E17" s="19" t="n">
        <v>0</v>
      </c>
      <c r="F17" s="11" t="n">
        <f aca="false">SUM(C17:E17)</f>
        <v>0</v>
      </c>
      <c r="G17" s="11" t="n">
        <f aca="false">SUM(B17:E17)</f>
        <v>0</v>
      </c>
    </row>
    <row r="18" customFormat="false" ht="21.75" hidden="false" customHeight="true" outlineLevel="0" collapsed="false">
      <c r="A18" s="9" t="s">
        <v>92</v>
      </c>
      <c r="B18" s="19" t="n">
        <v>0</v>
      </c>
      <c r="C18" s="19" t="n">
        <v>0</v>
      </c>
      <c r="D18" s="19" t="n">
        <v>0</v>
      </c>
      <c r="E18" s="19" t="n">
        <v>0</v>
      </c>
      <c r="F18" s="11" t="n">
        <f aca="false">SUM(C18:E18)</f>
        <v>0</v>
      </c>
      <c r="G18" s="11" t="n">
        <f aca="false">SUM(B18:E18)</f>
        <v>0</v>
      </c>
    </row>
    <row r="19" customFormat="false" ht="15" hidden="false" customHeight="true" outlineLevel="0" collapsed="false">
      <c r="A19" s="12" t="s">
        <v>94</v>
      </c>
      <c r="B19" s="13" t="n">
        <f aca="false">SUM(B15:B18)</f>
        <v>0</v>
      </c>
      <c r="C19" s="13" t="n">
        <f aca="false">SUM(C15:C18)</f>
        <v>108350</v>
      </c>
      <c r="D19" s="13" t="n">
        <f aca="false">SUM(D15:D18)</f>
        <v>2048350</v>
      </c>
      <c r="E19" s="13" t="n">
        <f aca="false">SUM(E15:E18)</f>
        <v>67850</v>
      </c>
      <c r="F19" s="14" t="n">
        <f aca="false">SUM(C19:E19)</f>
        <v>2224550</v>
      </c>
      <c r="G19" s="14" t="n">
        <f aca="false">SUM(B19:E19)</f>
        <v>2224550</v>
      </c>
    </row>
    <row r="21" customFormat="false" ht="15" hidden="false" customHeight="true" outlineLevel="0" collapsed="false">
      <c r="A21" s="7" t="s">
        <v>95</v>
      </c>
      <c r="B21" s="8"/>
      <c r="C21" s="8"/>
      <c r="D21" s="8"/>
      <c r="E21" s="8"/>
      <c r="F21" s="8"/>
      <c r="G21" s="8"/>
    </row>
    <row r="22" customFormat="false" ht="15" hidden="false" customHeight="true" outlineLevel="0" collapsed="false">
      <c r="A22" s="9" t="s">
        <v>118</v>
      </c>
      <c r="B22" s="19" t="n">
        <v>70000</v>
      </c>
      <c r="C22" s="19" t="n">
        <v>0</v>
      </c>
      <c r="D22" s="19" t="n">
        <v>0</v>
      </c>
      <c r="E22" s="19" t="n">
        <v>0</v>
      </c>
      <c r="F22" s="11" t="n">
        <f aca="false">SUM(C22:E22)</f>
        <v>0</v>
      </c>
      <c r="G22" s="11" t="n">
        <f aca="false">SUM(B22:E22)</f>
        <v>70000</v>
      </c>
    </row>
    <row r="23" customFormat="false" ht="15" hidden="false" customHeight="true" outlineLevel="0" collapsed="false">
      <c r="A23" s="9" t="s">
        <v>96</v>
      </c>
      <c r="B23" s="19" t="n">
        <v>0</v>
      </c>
      <c r="C23" s="19" t="n">
        <v>0</v>
      </c>
      <c r="D23" s="19" t="n">
        <v>0</v>
      </c>
      <c r="E23" s="19" t="n">
        <v>0</v>
      </c>
      <c r="F23" s="11" t="n">
        <f aca="false">SUM(C23:E23)</f>
        <v>0</v>
      </c>
      <c r="G23" s="11" t="n">
        <f aca="false">SUM(B23:E23)</f>
        <v>0</v>
      </c>
    </row>
    <row r="24" customFormat="false" ht="15" hidden="false" customHeight="true" outlineLevel="0" collapsed="false">
      <c r="A24" s="9" t="s">
        <v>97</v>
      </c>
      <c r="B24" s="19" t="n">
        <v>0</v>
      </c>
      <c r="C24" s="19" t="n">
        <v>0</v>
      </c>
      <c r="D24" s="19" t="n">
        <v>0</v>
      </c>
      <c r="E24" s="19" t="n">
        <v>0</v>
      </c>
      <c r="F24" s="11" t="n">
        <f aca="false">SUM(C24:E24)</f>
        <v>0</v>
      </c>
      <c r="G24" s="11" t="n">
        <f aca="false">SUM(B24:E24)</f>
        <v>0</v>
      </c>
    </row>
    <row r="25" customFormat="false" ht="15" hidden="false" customHeight="true" outlineLevel="0" collapsed="false">
      <c r="A25" s="9" t="s">
        <v>98</v>
      </c>
      <c r="B25" s="19" t="n">
        <v>0</v>
      </c>
      <c r="C25" s="19" t="n">
        <v>0</v>
      </c>
      <c r="D25" s="19" t="n">
        <v>0</v>
      </c>
      <c r="E25" s="19" t="n">
        <v>0</v>
      </c>
      <c r="F25" s="11" t="n">
        <f aca="false">SUM(C25:E25)</f>
        <v>0</v>
      </c>
      <c r="G25" s="11" t="n">
        <f aca="false">SUM(B25:E25)</f>
        <v>0</v>
      </c>
    </row>
    <row r="26" customFormat="false" ht="15" hidden="false" customHeight="true" outlineLevel="0" collapsed="false">
      <c r="A26" s="12" t="s">
        <v>100</v>
      </c>
      <c r="B26" s="13" t="n">
        <f aca="false">SUM(B22:B25)</f>
        <v>70000</v>
      </c>
      <c r="C26" s="13" t="n">
        <f aca="false">SUM(C22:C25)</f>
        <v>0</v>
      </c>
      <c r="D26" s="13" t="n">
        <f aca="false">SUM(D22:D25)</f>
        <v>0</v>
      </c>
      <c r="E26" s="13" t="n">
        <f aca="false">SUM(E22:E25)</f>
        <v>0</v>
      </c>
      <c r="F26" s="14" t="n">
        <f aca="false">SUM(C26:E26)</f>
        <v>0</v>
      </c>
      <c r="G26" s="14" t="n">
        <f aca="false">SUM(B26:E26)</f>
        <v>70000</v>
      </c>
    </row>
    <row r="28" customFormat="false" ht="15" hidden="false" customHeight="true" outlineLevel="0" collapsed="false">
      <c r="A28" s="15" t="s">
        <v>101</v>
      </c>
      <c r="B28" s="16" t="n">
        <f aca="false">B19+B26</f>
        <v>70000</v>
      </c>
      <c r="C28" s="16" t="n">
        <f aca="false">C19+C26</f>
        <v>108350</v>
      </c>
      <c r="D28" s="16" t="n">
        <f aca="false">D19+D26</f>
        <v>2048350</v>
      </c>
      <c r="E28" s="16" t="n">
        <f aca="false">E19+E26</f>
        <v>67850</v>
      </c>
      <c r="F28" s="17" t="n">
        <f aca="false">SUM(C28:E28)</f>
        <v>2224550</v>
      </c>
      <c r="G28" s="17" t="n">
        <f aca="false">SUM(B28:E28)</f>
        <v>2294550</v>
      </c>
    </row>
    <row r="30" customFormat="false" ht="15" hidden="false" customHeight="true" outlineLevel="0" collapsed="false">
      <c r="A30" s="7" t="s">
        <v>23</v>
      </c>
      <c r="B30" s="8"/>
      <c r="C30" s="8"/>
      <c r="D30" s="8"/>
      <c r="E30" s="8"/>
      <c r="F30" s="8"/>
      <c r="G30" s="8"/>
    </row>
    <row r="31" customFormat="false" ht="15" hidden="false" customHeight="true" outlineLevel="0" collapsed="false">
      <c r="A31" s="12" t="s">
        <v>102</v>
      </c>
      <c r="B31" s="13" t="n">
        <f aca="false">B12-B28</f>
        <v>0</v>
      </c>
      <c r="C31" s="13" t="n">
        <f aca="false">C12-C28</f>
        <v>0</v>
      </c>
      <c r="D31" s="13" t="n">
        <f aca="false">D12-D28</f>
        <v>0</v>
      </c>
      <c r="E31" s="13" t="n">
        <f aca="false">E12-E28</f>
        <v>0</v>
      </c>
      <c r="F31" s="14" t="n">
        <f aca="false">SUM(C31:E31)</f>
        <v>0</v>
      </c>
      <c r="G31" s="14" t="n">
        <f aca="false">SUM(B31:E31)</f>
        <v>0</v>
      </c>
    </row>
    <row r="33" customFormat="false" ht="15" hidden="false" customHeight="true" outlineLevel="0" collapsed="false">
      <c r="A33" s="9" t="s">
        <v>104</v>
      </c>
      <c r="G33" s="25" t="n">
        <v>2294550</v>
      </c>
    </row>
    <row r="34" customFormat="false" ht="15" hidden="false" customHeight="true" outlineLevel="0" collapsed="false">
      <c r="A34" s="26" t="s">
        <v>105</v>
      </c>
      <c r="G34" s="11" t="n">
        <f aca="false">G33-G28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D16" activeCellId="0" sqref="D16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119</v>
      </c>
    </row>
    <row r="2" customFormat="false" ht="15" hidden="false" customHeight="true" outlineLevel="0" collapsed="false">
      <c r="A2" s="3" t="s">
        <v>120</v>
      </c>
    </row>
    <row r="3" customFormat="false" ht="15" hidden="false" customHeight="true" outlineLevel="0" collapsed="false">
      <c r="A3" s="20" t="s">
        <v>121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36</v>
      </c>
    </row>
    <row r="6" customFormat="false" ht="15" hidden="false" customHeight="true" outlineLevel="0" collapsed="false">
      <c r="A6" s="7" t="s">
        <v>122</v>
      </c>
      <c r="B6" s="8"/>
      <c r="C6" s="8"/>
      <c r="D6" s="8"/>
      <c r="E6" s="8"/>
      <c r="F6" s="8"/>
      <c r="G6" s="8"/>
      <c r="H6" s="8"/>
    </row>
    <row r="7" customFormat="false" ht="21.75" hidden="false" customHeight="true" outlineLevel="0" collapsed="false">
      <c r="A7" s="9" t="s">
        <v>123</v>
      </c>
      <c r="B7" s="19" t="n">
        <v>0</v>
      </c>
      <c r="C7" s="19" t="n">
        <v>188.49</v>
      </c>
      <c r="D7" s="19" t="n">
        <v>6276.72</v>
      </c>
      <c r="E7" s="19" t="n">
        <v>6517.17</v>
      </c>
      <c r="F7" s="11" t="n">
        <f aca="false">SUM(C7:E7)</f>
        <v>12982.38</v>
      </c>
      <c r="G7" s="11" t="n">
        <f aca="false">SUM(B7:E7)</f>
        <v>12982.38</v>
      </c>
      <c r="H7" s="21" t="s">
        <v>124</v>
      </c>
    </row>
    <row r="8" customFormat="false" ht="15" hidden="false" customHeight="true" outlineLevel="0" collapsed="false">
      <c r="A8" s="9" t="s">
        <v>125</v>
      </c>
      <c r="B8" s="19" t="n">
        <v>2120</v>
      </c>
      <c r="C8" s="19" t="n">
        <v>0</v>
      </c>
      <c r="D8" s="19" t="n">
        <v>0</v>
      </c>
      <c r="E8" s="19" t="n">
        <v>0</v>
      </c>
      <c r="F8" s="11" t="n">
        <f aca="false">SUM(C8:E8)</f>
        <v>0</v>
      </c>
      <c r="G8" s="11" t="n">
        <f aca="false">SUM(B8:E8)</f>
        <v>2120</v>
      </c>
      <c r="H8" s="21" t="s">
        <v>126</v>
      </c>
    </row>
    <row r="9" customFormat="false" ht="15" hidden="false" customHeight="true" outlineLevel="0" collapsed="false">
      <c r="A9" s="9" t="s">
        <v>127</v>
      </c>
      <c r="B9" s="19" t="n">
        <v>0</v>
      </c>
      <c r="C9" s="19" t="n">
        <v>9518.74</v>
      </c>
      <c r="D9" s="19" t="n">
        <v>19386.8</v>
      </c>
      <c r="E9" s="19" t="n">
        <v>28699.11</v>
      </c>
      <c r="F9" s="11" t="n">
        <f aca="false">SUM(C9:E9)</f>
        <v>57604.65</v>
      </c>
      <c r="G9" s="11" t="n">
        <f aca="false">SUM(B9:E9)</f>
        <v>57604.65</v>
      </c>
      <c r="H9" s="1" t="s">
        <v>128</v>
      </c>
    </row>
    <row r="10" customFormat="false" ht="15" hidden="false" customHeight="true" outlineLevel="0" collapsed="false">
      <c r="A10" s="12" t="s">
        <v>129</v>
      </c>
      <c r="B10" s="13" t="n">
        <f aca="false">SUM(B7:B9)</f>
        <v>2120</v>
      </c>
      <c r="C10" s="13" t="n">
        <f aca="false">SUM(C7:C9)</f>
        <v>9707.23</v>
      </c>
      <c r="D10" s="13" t="n">
        <f aca="false">SUM(D7:D9)</f>
        <v>25663.52</v>
      </c>
      <c r="E10" s="13" t="n">
        <f aca="false">SUM(E7:E9)</f>
        <v>35216.28</v>
      </c>
      <c r="F10" s="14" t="n">
        <f aca="false">SUM(C10:E10)</f>
        <v>70587.03</v>
      </c>
      <c r="G10" s="14" t="n">
        <f aca="false">SUM(B10:E10)</f>
        <v>72707.03</v>
      </c>
      <c r="H10" s="21"/>
    </row>
    <row r="12" customFormat="false" ht="15" hidden="false" customHeight="true" outlineLevel="0" collapsed="false">
      <c r="A12" s="2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D18" activeCellId="0" sqref="D18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131</v>
      </c>
    </row>
    <row r="2" customFormat="false" ht="15" hidden="false" customHeight="true" outlineLevel="0" collapsed="false">
      <c r="A2" s="3" t="s">
        <v>132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  <c r="H5" s="4" t="s">
        <v>36</v>
      </c>
    </row>
    <row r="6" customFormat="false" ht="15" hidden="false" customHeight="true" outlineLevel="0" collapsed="false">
      <c r="A6" s="7" t="s">
        <v>122</v>
      </c>
      <c r="B6" s="8"/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9" t="s">
        <v>133</v>
      </c>
      <c r="B7" s="19" t="n">
        <v>0</v>
      </c>
      <c r="C7" s="19" t="n">
        <v>5685.66</v>
      </c>
      <c r="D7" s="19" t="n">
        <v>11598.75</v>
      </c>
      <c r="E7" s="19" t="n">
        <v>11830.72</v>
      </c>
      <c r="F7" s="11" t="n">
        <f aca="false">SUM(C7:E7)</f>
        <v>29115.13</v>
      </c>
      <c r="G7" s="11" t="n">
        <f aca="false">SUM(B7:E7)</f>
        <v>29115.13</v>
      </c>
      <c r="H7" s="21" t="s">
        <v>134</v>
      </c>
    </row>
    <row r="8" customFormat="false" ht="15" hidden="false" customHeight="true" outlineLevel="0" collapsed="false">
      <c r="A8" s="9" t="s">
        <v>135</v>
      </c>
      <c r="B8" s="19" t="n">
        <v>0</v>
      </c>
      <c r="C8" s="19" t="n">
        <v>8000</v>
      </c>
      <c r="D8" s="19" t="n">
        <v>8000</v>
      </c>
      <c r="E8" s="19" t="n">
        <v>8000</v>
      </c>
      <c r="F8" s="11" t="n">
        <f aca="false">SUM(C8:E8)</f>
        <v>24000</v>
      </c>
      <c r="G8" s="11" t="n">
        <f aca="false">SUM(B8:E8)</f>
        <v>24000</v>
      </c>
      <c r="H8" s="21" t="s">
        <v>136</v>
      </c>
    </row>
    <row r="9" customFormat="false" ht="15" hidden="false" customHeight="true" outlineLevel="0" collapsed="false">
      <c r="A9" s="9" t="s">
        <v>137</v>
      </c>
      <c r="B9" s="19" t="n">
        <v>0</v>
      </c>
      <c r="C9" s="19" t="n">
        <v>3000</v>
      </c>
      <c r="D9" s="19" t="n">
        <v>4000</v>
      </c>
      <c r="E9" s="19" t="n">
        <v>6000</v>
      </c>
      <c r="F9" s="11" t="n">
        <f aca="false">SUM(C9:E9)</f>
        <v>13000</v>
      </c>
      <c r="G9" s="11" t="n">
        <f aca="false">SUM(B9:E9)</f>
        <v>13000</v>
      </c>
      <c r="H9" s="21"/>
    </row>
    <row r="10" customFormat="false" ht="15" hidden="false" customHeight="true" outlineLevel="0" collapsed="false">
      <c r="A10" s="9" t="s">
        <v>138</v>
      </c>
      <c r="B10" s="19" t="n">
        <v>0</v>
      </c>
      <c r="C10" s="19" t="n">
        <v>0</v>
      </c>
      <c r="D10" s="19" t="n">
        <v>15000</v>
      </c>
      <c r="E10" s="19" t="n">
        <v>15000</v>
      </c>
      <c r="F10" s="11" t="n">
        <f aca="false">SUM(C10:E10)</f>
        <v>30000</v>
      </c>
      <c r="G10" s="11" t="n">
        <f aca="false">SUM(B10:E10)</f>
        <v>30000</v>
      </c>
      <c r="H10" s="21"/>
    </row>
    <row r="11" customFormat="false" ht="15" hidden="false" customHeight="true" outlineLevel="0" collapsed="false">
      <c r="A11" s="9" t="s">
        <v>139</v>
      </c>
      <c r="B11" s="19" t="n">
        <v>300</v>
      </c>
      <c r="C11" s="19" t="n">
        <v>500</v>
      </c>
      <c r="D11" s="19" t="n">
        <v>1000</v>
      </c>
      <c r="E11" s="19" t="n">
        <v>1000</v>
      </c>
      <c r="F11" s="11" t="n">
        <f aca="false">SUM(C11:E11)</f>
        <v>2500</v>
      </c>
      <c r="G11" s="11" t="n">
        <f aca="false">SUM(B11:E11)</f>
        <v>2800</v>
      </c>
      <c r="H11" s="21" t="s">
        <v>140</v>
      </c>
    </row>
    <row r="12" customFormat="false" ht="15" hidden="false" customHeight="true" outlineLevel="0" collapsed="false">
      <c r="A12" s="9" t="s">
        <v>141</v>
      </c>
      <c r="B12" s="19" t="n">
        <v>0</v>
      </c>
      <c r="C12" s="19" t="n">
        <v>0</v>
      </c>
      <c r="D12" s="19" t="n">
        <v>10000</v>
      </c>
      <c r="E12" s="19" t="n">
        <v>10000</v>
      </c>
      <c r="F12" s="11" t="n">
        <f aca="false">SUM(C12:E12)</f>
        <v>20000</v>
      </c>
      <c r="G12" s="11" t="n">
        <f aca="false">SUM(B12:E12)</f>
        <v>20000</v>
      </c>
      <c r="H12" s="21"/>
    </row>
    <row r="13" customFormat="false" ht="45.75" hidden="false" customHeight="true" outlineLevel="0" collapsed="false">
      <c r="A13" s="9" t="s">
        <v>142</v>
      </c>
      <c r="B13" s="19" t="n">
        <v>0</v>
      </c>
      <c r="C13" s="19" t="n">
        <v>589.83</v>
      </c>
      <c r="D13" s="19" t="n">
        <v>1164.97</v>
      </c>
      <c r="E13" s="19" t="n">
        <v>1173.45</v>
      </c>
      <c r="F13" s="11" t="n">
        <f aca="false">SUM(C13:E13)</f>
        <v>2928.25</v>
      </c>
      <c r="G13" s="11" t="n">
        <f aca="false">SUM(B13:E13)</f>
        <v>2928.25</v>
      </c>
      <c r="H13" s="21" t="s">
        <v>143</v>
      </c>
    </row>
    <row r="14" customFormat="false" ht="45.75" hidden="false" customHeight="true" outlineLevel="0" collapsed="false">
      <c r="A14" s="9" t="s">
        <v>144</v>
      </c>
      <c r="B14" s="19" t="n">
        <v>0</v>
      </c>
      <c r="C14" s="19" t="n">
        <v>4350</v>
      </c>
      <c r="D14" s="19" t="n">
        <v>9012</v>
      </c>
      <c r="E14" s="19" t="n">
        <v>9026</v>
      </c>
      <c r="F14" s="11" t="n">
        <f aca="false">SUM(C14:E14)</f>
        <v>22388</v>
      </c>
      <c r="G14" s="11" t="n">
        <f aca="false">SUM(B14:E14)</f>
        <v>22388</v>
      </c>
      <c r="H14" s="21" t="s">
        <v>145</v>
      </c>
    </row>
    <row r="15" customFormat="false" ht="45.75" hidden="false" customHeight="true" outlineLevel="0" collapsed="false">
      <c r="A15" s="9" t="s">
        <v>146</v>
      </c>
      <c r="B15" s="19" t="n">
        <v>0</v>
      </c>
      <c r="C15" s="19" t="n">
        <v>10000</v>
      </c>
      <c r="D15" s="19" t="n">
        <v>0</v>
      </c>
      <c r="E15" s="19" t="n">
        <v>0</v>
      </c>
      <c r="F15" s="11" t="n">
        <f aca="false">SUM(C15:E15)</f>
        <v>10000</v>
      </c>
      <c r="G15" s="11" t="n">
        <f aca="false">SUM(B15:E15)</f>
        <v>10000</v>
      </c>
      <c r="H15" s="21" t="s">
        <v>147</v>
      </c>
    </row>
    <row r="16" customFormat="false" ht="45.75" hidden="false" customHeight="true" outlineLevel="0" collapsed="false">
      <c r="A16" s="9" t="s">
        <v>148</v>
      </c>
      <c r="B16" s="19" t="n">
        <v>0</v>
      </c>
      <c r="C16" s="19" t="n">
        <v>200</v>
      </c>
      <c r="D16" s="19" t="n">
        <v>100</v>
      </c>
      <c r="E16" s="19" t="n">
        <v>100</v>
      </c>
      <c r="F16" s="11" t="n">
        <f aca="false">SUM(C16:E16)</f>
        <v>400</v>
      </c>
      <c r="G16" s="11" t="n">
        <f aca="false">SUM(B16:E16)</f>
        <v>400</v>
      </c>
      <c r="H16" s="21" t="s">
        <v>149</v>
      </c>
    </row>
    <row r="17" customFormat="false" ht="15" hidden="false" customHeight="true" outlineLevel="0" collapsed="false">
      <c r="A17" s="12" t="s">
        <v>150</v>
      </c>
      <c r="B17" s="13" t="n">
        <f aca="false">SUM(B7:B16)</f>
        <v>300</v>
      </c>
      <c r="C17" s="13" t="n">
        <f aca="false">SUM(C7:C16)</f>
        <v>32325.49</v>
      </c>
      <c r="D17" s="13" t="n">
        <f aca="false">SUM(D7:D16)</f>
        <v>59875.72</v>
      </c>
      <c r="E17" s="13" t="n">
        <f aca="false">SUM(E7:E16)</f>
        <v>62130.17</v>
      </c>
      <c r="F17" s="14" t="n">
        <f aca="false">SUM(C17:E17)</f>
        <v>154331.38</v>
      </c>
      <c r="G17" s="14" t="n">
        <f aca="false">SUM(B17:E17)</f>
        <v>154631.38</v>
      </c>
      <c r="H17" s="21"/>
    </row>
    <row r="19" customFormat="false" ht="15" hidden="false" customHeight="true" outlineLevel="0" collapsed="false">
      <c r="A19" s="24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L11" activeCellId="0" sqref="L1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5" min="2" style="1" width="14"/>
    <col collapsed="false" customWidth="true" hidden="false" outlineLevel="0" max="7" min="6" style="1" width="15"/>
  </cols>
  <sheetData>
    <row r="1" customFormat="false" ht="17.25" hidden="false" customHeight="true" outlineLevel="0" collapsed="false">
      <c r="A1" s="2" t="s">
        <v>152</v>
      </c>
    </row>
    <row r="2" customFormat="false" ht="15" hidden="false" customHeight="true" outlineLevel="0" collapsed="false">
      <c r="A2" s="3" t="s">
        <v>153</v>
      </c>
    </row>
    <row r="5" customFormat="false" ht="27.75" hidden="false" customHeight="true" outlineLevel="0" collapsed="false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6" t="s">
        <v>7</v>
      </c>
      <c r="G5" s="6" t="s">
        <v>8</v>
      </c>
    </row>
    <row r="6" customFormat="false" ht="15" hidden="false" customHeight="true" outlineLevel="0" collapsed="false">
      <c r="A6" s="7" t="s">
        <v>154</v>
      </c>
      <c r="B6" s="8"/>
      <c r="C6" s="8"/>
      <c r="D6" s="8"/>
      <c r="E6" s="8"/>
      <c r="F6" s="8"/>
      <c r="G6" s="8"/>
    </row>
    <row r="7" customFormat="false" ht="15" hidden="false" customHeight="true" outlineLevel="0" collapsed="false">
      <c r="A7" s="9" t="s">
        <v>28</v>
      </c>
      <c r="B7" s="19" t="n">
        <v>15000</v>
      </c>
      <c r="C7" s="19" t="n">
        <v>30000</v>
      </c>
      <c r="D7" s="19" t="n">
        <v>0</v>
      </c>
      <c r="E7" s="19" t="n">
        <v>0</v>
      </c>
      <c r="F7" s="11" t="n">
        <f aca="false">SUM(C7:E7)</f>
        <v>30000</v>
      </c>
      <c r="G7" s="11" t="n">
        <f aca="false">SUM(B7:E7)</f>
        <v>45000</v>
      </c>
    </row>
    <row r="8" customFormat="false" ht="15" hidden="false" customHeight="true" outlineLevel="0" collapsed="false">
      <c r="A8" s="9" t="s">
        <v>155</v>
      </c>
      <c r="B8" s="23" t="n">
        <f aca="false">B7</f>
        <v>15000</v>
      </c>
      <c r="C8" s="23" t="n">
        <f aca="false">B8+C7</f>
        <v>45000</v>
      </c>
      <c r="D8" s="23" t="n">
        <f aca="false">C8+D7</f>
        <v>45000</v>
      </c>
      <c r="E8" s="23" t="n">
        <f aca="false">D8+E7</f>
        <v>45000</v>
      </c>
      <c r="F8" s="27" t="s">
        <v>156</v>
      </c>
      <c r="G8" s="27" t="s">
        <v>156</v>
      </c>
    </row>
    <row r="10" customFormat="false" ht="15" hidden="false" customHeight="true" outlineLevel="0" collapsed="false">
      <c r="A10" s="7" t="s">
        <v>157</v>
      </c>
      <c r="B10" s="8"/>
      <c r="C10" s="8"/>
      <c r="D10" s="8"/>
      <c r="E10" s="8"/>
      <c r="F10" s="8"/>
      <c r="G10" s="8"/>
    </row>
    <row r="11" customFormat="false" ht="15" hidden="false" customHeight="true" outlineLevel="0" collapsed="false">
      <c r="A11" s="9" t="s">
        <v>39</v>
      </c>
      <c r="B11" s="19" t="n">
        <v>75</v>
      </c>
      <c r="C11" s="19" t="n">
        <v>525</v>
      </c>
      <c r="D11" s="19" t="n">
        <v>900</v>
      </c>
      <c r="E11" s="19" t="n">
        <v>900</v>
      </c>
      <c r="F11" s="11" t="n">
        <f aca="false">SUM(C11:E11)</f>
        <v>2325</v>
      </c>
      <c r="G11" s="11" t="n">
        <f aca="false">SUM(B11:E11)</f>
        <v>2400</v>
      </c>
    </row>
    <row r="12" customFormat="false" ht="15" hidden="false" customHeight="true" outlineLevel="0" collapsed="false">
      <c r="A12" s="9" t="s">
        <v>158</v>
      </c>
      <c r="B12" s="19" t="n">
        <v>157452.72</v>
      </c>
      <c r="C12" s="19" t="n">
        <v>0</v>
      </c>
      <c r="D12" s="19" t="n">
        <v>0</v>
      </c>
      <c r="E12" s="19" t="n">
        <v>0</v>
      </c>
      <c r="F12" s="11" t="n">
        <f aca="false">SUM(C12:E12)</f>
        <v>0</v>
      </c>
      <c r="G12" s="11" t="n">
        <f aca="false">SUM(B12:E12)</f>
        <v>157452.72</v>
      </c>
    </row>
    <row r="13" customFormat="false" ht="15" hidden="false" customHeight="true" outlineLevel="0" collapsed="false">
      <c r="A13" s="9" t="s">
        <v>159</v>
      </c>
      <c r="B13" s="19" t="n">
        <v>0</v>
      </c>
      <c r="C13" s="19" t="n">
        <v>1567535.69</v>
      </c>
      <c r="D13" s="19" t="n">
        <v>0</v>
      </c>
      <c r="E13" s="19" t="n">
        <v>0</v>
      </c>
      <c r="F13" s="11" t="n">
        <f aca="false">SUM(C13:E13)</f>
        <v>1567535.69</v>
      </c>
      <c r="G13" s="11" t="n">
        <f aca="false">SUM(B13:E13)</f>
        <v>1567535.69</v>
      </c>
    </row>
    <row r="14" customFormat="false" ht="15" hidden="false" customHeight="true" outlineLevel="0" collapsed="false">
      <c r="A14" s="9" t="s">
        <v>160</v>
      </c>
      <c r="B14" s="19" t="n">
        <v>0</v>
      </c>
      <c r="C14" s="19" t="n">
        <v>0</v>
      </c>
      <c r="D14" s="19" t="n">
        <v>2216500</v>
      </c>
      <c r="E14" s="19" t="n">
        <v>0</v>
      </c>
      <c r="F14" s="11" t="n">
        <f aca="false">SUM(C14:E14)</f>
        <v>2216500</v>
      </c>
      <c r="G14" s="11" t="n">
        <f aca="false">SUM(B14:E14)</f>
        <v>2216500</v>
      </c>
    </row>
    <row r="15" customFormat="false" ht="15" hidden="false" customHeight="true" outlineLevel="0" collapsed="false">
      <c r="A15" s="9" t="s">
        <v>47</v>
      </c>
      <c r="B15" s="19" t="n">
        <v>0</v>
      </c>
      <c r="C15" s="19" t="n">
        <v>0</v>
      </c>
      <c r="D15" s="19" t="n">
        <v>0</v>
      </c>
      <c r="E15" s="19" t="n">
        <v>0</v>
      </c>
      <c r="F15" s="11" t="n">
        <f aca="false">SUM(C15:E15)</f>
        <v>0</v>
      </c>
      <c r="G15" s="11" t="n">
        <f aca="false">SUM(B15:E15)</f>
        <v>0</v>
      </c>
    </row>
    <row r="16" customFormat="false" ht="15" hidden="false" customHeight="true" outlineLevel="0" collapsed="false">
      <c r="A16" s="9" t="s">
        <v>48</v>
      </c>
      <c r="B16" s="19" t="n">
        <v>0</v>
      </c>
      <c r="C16" s="19" t="n">
        <v>0</v>
      </c>
      <c r="D16" s="19" t="n">
        <v>0</v>
      </c>
      <c r="E16" s="19" t="n">
        <v>0</v>
      </c>
      <c r="F16" s="11" t="n">
        <f aca="false">SUM(C16:E16)</f>
        <v>0</v>
      </c>
      <c r="G16" s="11" t="n">
        <f aca="false">SUM(B16:E16)</f>
        <v>0</v>
      </c>
    </row>
    <row r="17" customFormat="false" ht="15" hidden="false" customHeight="true" outlineLevel="0" collapsed="false">
      <c r="A17" s="9" t="s">
        <v>49</v>
      </c>
      <c r="B17" s="19" t="n">
        <v>0</v>
      </c>
      <c r="C17" s="19" t="n">
        <v>0</v>
      </c>
      <c r="D17" s="19" t="n">
        <v>0</v>
      </c>
      <c r="E17" s="19" t="n">
        <v>0</v>
      </c>
      <c r="F17" s="11" t="n">
        <f aca="false">SUM(C17:E17)</f>
        <v>0</v>
      </c>
      <c r="G17" s="11" t="n">
        <f aca="false">SUM(B17:E17)</f>
        <v>0</v>
      </c>
    </row>
    <row r="18" customFormat="false" ht="15" hidden="false" customHeight="true" outlineLevel="0" collapsed="false">
      <c r="A18" s="9" t="s">
        <v>50</v>
      </c>
      <c r="B18" s="19" t="n">
        <v>0</v>
      </c>
      <c r="C18" s="19" t="n">
        <v>0</v>
      </c>
      <c r="D18" s="19" t="n">
        <v>0</v>
      </c>
      <c r="E18" s="19" t="n">
        <v>0</v>
      </c>
      <c r="F18" s="11" t="n">
        <f aca="false">SUM(C18:E18)</f>
        <v>0</v>
      </c>
      <c r="G18" s="11" t="n">
        <f aca="false">SUM(B18:E18)</f>
        <v>0</v>
      </c>
    </row>
    <row r="19" customFormat="false" ht="15" hidden="false" customHeight="true" outlineLevel="0" collapsed="false">
      <c r="A19" s="9" t="s">
        <v>51</v>
      </c>
      <c r="B19" s="19" t="n">
        <v>0</v>
      </c>
      <c r="C19" s="19" t="n">
        <v>0</v>
      </c>
      <c r="D19" s="19" t="n">
        <v>0</v>
      </c>
      <c r="E19" s="19" t="n">
        <v>0</v>
      </c>
      <c r="F19" s="11" t="n">
        <f aca="false">SUM(C19:E19)</f>
        <v>0</v>
      </c>
      <c r="G19" s="11" t="n">
        <f aca="false">SUM(B19:E19)</f>
        <v>0</v>
      </c>
    </row>
    <row r="20" customFormat="false" ht="15" hidden="false" customHeight="true" outlineLevel="0" collapsed="false">
      <c r="A20" s="9" t="s">
        <v>53</v>
      </c>
      <c r="B20" s="19" t="n">
        <v>0</v>
      </c>
      <c r="C20" s="19" t="n">
        <v>0</v>
      </c>
      <c r="D20" s="19" t="n">
        <v>0</v>
      </c>
      <c r="E20" s="19" t="n">
        <v>0</v>
      </c>
      <c r="F20" s="11" t="n">
        <f aca="false">SUM(C20:E20)</f>
        <v>0</v>
      </c>
      <c r="G20" s="11" t="n">
        <f aca="false">SUM(B20:E20)</f>
        <v>0</v>
      </c>
    </row>
    <row r="21" customFormat="false" ht="15" hidden="false" customHeight="true" outlineLevel="0" collapsed="false">
      <c r="A21" s="9" t="s">
        <v>54</v>
      </c>
      <c r="B21" s="19" t="n">
        <v>0</v>
      </c>
      <c r="C21" s="19" t="n">
        <v>0</v>
      </c>
      <c r="D21" s="19" t="n">
        <v>0</v>
      </c>
      <c r="E21" s="19" t="n">
        <v>0</v>
      </c>
      <c r="F21" s="11" t="n">
        <f aca="false">SUM(C21:E21)</f>
        <v>0</v>
      </c>
      <c r="G21" s="11" t="n">
        <f aca="false">SUM(B21:E21)</f>
        <v>0</v>
      </c>
    </row>
    <row r="22" customFormat="false" ht="15" hidden="false" customHeight="true" outlineLevel="0" collapsed="false">
      <c r="A22" s="9" t="s">
        <v>55</v>
      </c>
      <c r="B22" s="19" t="n">
        <v>0</v>
      </c>
      <c r="C22" s="19" t="n">
        <v>0</v>
      </c>
      <c r="D22" s="19" t="n">
        <v>0</v>
      </c>
      <c r="E22" s="19" t="n">
        <v>0</v>
      </c>
      <c r="F22" s="11" t="n">
        <f aca="false">SUM(C22:E22)</f>
        <v>0</v>
      </c>
      <c r="G22" s="11" t="n">
        <f aca="false">SUM(B22:E22)</f>
        <v>0</v>
      </c>
    </row>
    <row r="23" customFormat="false" ht="15" hidden="false" customHeight="true" outlineLevel="0" collapsed="false">
      <c r="A23" s="9" t="s">
        <v>56</v>
      </c>
      <c r="B23" s="19" t="n">
        <v>0</v>
      </c>
      <c r="C23" s="19" t="n">
        <v>0</v>
      </c>
      <c r="D23" s="19" t="n">
        <v>0</v>
      </c>
      <c r="E23" s="19" t="n">
        <v>0</v>
      </c>
      <c r="F23" s="11" t="n">
        <f aca="false">SUM(C23:E23)</f>
        <v>0</v>
      </c>
      <c r="G23" s="11" t="n">
        <f aca="false">SUM(B23:E23)</f>
        <v>0</v>
      </c>
    </row>
    <row r="24" customFormat="false" ht="15" hidden="false" customHeight="true" outlineLevel="0" collapsed="false">
      <c r="A24" s="9" t="s">
        <v>57</v>
      </c>
      <c r="B24" s="19" t="n">
        <v>0</v>
      </c>
      <c r="C24" s="19" t="n">
        <v>0</v>
      </c>
      <c r="D24" s="19" t="n">
        <v>0</v>
      </c>
      <c r="E24" s="19" t="n">
        <v>0</v>
      </c>
      <c r="F24" s="11" t="n">
        <f aca="false">SUM(C24:E24)</f>
        <v>0</v>
      </c>
      <c r="G24" s="11" t="n">
        <f aca="false">SUM(B24:E24)</f>
        <v>0</v>
      </c>
    </row>
    <row r="25" customFormat="false" ht="15" hidden="false" customHeight="true" outlineLevel="0" collapsed="false">
      <c r="A25" s="9" t="s">
        <v>58</v>
      </c>
      <c r="B25" s="19" t="n">
        <v>0</v>
      </c>
      <c r="C25" s="19" t="n">
        <v>0</v>
      </c>
      <c r="D25" s="19" t="n">
        <v>0</v>
      </c>
      <c r="E25" s="19" t="n">
        <v>0</v>
      </c>
      <c r="F25" s="11" t="n">
        <f aca="false">SUM(C25:E25)</f>
        <v>0</v>
      </c>
      <c r="G25" s="11" t="n">
        <f aca="false">SUM(B25:E25)</f>
        <v>0</v>
      </c>
    </row>
    <row r="26" customFormat="false" ht="15" hidden="false" customHeight="true" outlineLevel="0" collapsed="false">
      <c r="A26" s="9" t="s">
        <v>60</v>
      </c>
      <c r="B26" s="19" t="n">
        <v>0</v>
      </c>
      <c r="C26" s="19" t="n">
        <v>0</v>
      </c>
      <c r="D26" s="19" t="n">
        <v>0</v>
      </c>
      <c r="E26" s="19" t="n">
        <v>0</v>
      </c>
      <c r="F26" s="11" t="n">
        <f aca="false">SUM(C26:E26)</f>
        <v>0</v>
      </c>
      <c r="G26" s="11" t="n">
        <f aca="false">SUM(B26:E26)</f>
        <v>0</v>
      </c>
    </row>
    <row r="27" customFormat="false" ht="14.25" hidden="false" customHeight="true" outlineLevel="0" collapsed="false">
      <c r="A27" s="15" t="s">
        <v>13</v>
      </c>
      <c r="B27" s="16" t="n">
        <f aca="false">SUM(B11:B26)</f>
        <v>157527.72</v>
      </c>
      <c r="C27" s="16" t="n">
        <f aca="false">SUM(C11:C26)</f>
        <v>1568060.69</v>
      </c>
      <c r="D27" s="16" t="n">
        <f aca="false">SUM(D11:D26)</f>
        <v>2217400</v>
      </c>
      <c r="E27" s="16" t="n">
        <f aca="false">SUM(E11:E26)</f>
        <v>900</v>
      </c>
      <c r="F27" s="17" t="n">
        <f aca="false">SUM(C27:E27)</f>
        <v>3786360.69</v>
      </c>
      <c r="G27" s="17" t="n">
        <f aca="false">SUM(B27:E27)</f>
        <v>3943888.41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2026-08-28T07:42:40Z</dcterms:created>
  <dc:creator>openpyxl</dc:creator>
  <dc:description/>
  <dc:language>en-US</dc:language>
  <cp:lastModifiedBy>Clément Chardon</cp:lastModifiedBy>
  <dcterms:modified xsi:type="dcterms:W3CDTF">2026-09-29T08:43:33Z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