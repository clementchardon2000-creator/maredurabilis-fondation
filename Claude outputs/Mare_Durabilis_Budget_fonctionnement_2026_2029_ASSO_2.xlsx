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ègles FEAMPA" sheetId="1" state="visible" r:id="rId3"/>
    <sheet name="Hypothèses" sheetId="2" state="visible" r:id="rId4"/>
    <sheet name="Dépenses" sheetId="3" state="visible" r:id="rId5"/>
    <sheet name="Ressources" sheetId="4" state="visible" r:id="rId6"/>
    <sheet name="Synthèse" sheetId="5" state="visible" r:id="rId7"/>
    <sheet name="Contrôle forfaits" sheetId="6" state="visible" r:id="rId8"/>
    <sheet name="Trésoreri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<sst xmlns="http://schemas.openxmlformats.org/spreadsheetml/2006/main" count="607" uniqueCount="499">
  <si>
    <t xml:space="preserve">ÉLIGIBILITÉ FEAMPA — RÈGLES GÉNÉRALES</t>
  </si>
  <si>
    <t xml:space="preserve">Règles : coûts simplifiés obligatoires au FEAMPA 2021-2027 — salaire au réel (1 607 h), forfait de 15 % des frais de personnel pour les coûts indirects, forfait de 6,3 % des frais de personnel pour les frais de mission (déplacements, hébergement, repas). Toute dépense déclarée au réel doit en outre remplir les conditions générales C1 à C9 ci-dessous. Sources secondaires (DOMO FEAMPA, guides régionaux) : à confirmer avec le service instructeur Occitanie.</t>
  </si>
  <si>
    <t xml:space="preserve">CONDITIONS GÉNÉRALES — valables pour toute dépense déclarée au réel</t>
  </si>
  <si>
    <t xml:space="preserve">Condition</t>
  </si>
  <si>
    <t xml:space="preserve">Ce qu’elle impose</t>
  </si>
  <si>
    <t xml:space="preserve">Pièce justificative</t>
  </si>
  <si>
    <t xml:space="preserve">Source</t>
  </si>
  <si>
    <t xml:space="preserve">C1 — Lien direct avec l’opération</t>
  </si>
  <si>
    <t xml:space="preserve">La dépense est nécessaire à l'opération, prévue dans le plan de financement déposé et rattachable à une de ses actions.</t>
  </si>
  <si>
    <t xml:space="preserve">Plan de financement, ordre du jour, compte rendu, livrable</t>
  </si>
  <si>
    <t xml:space="preserve">Décret n° 2022-608 du 21 avril 2022 ; règlement (UE) 2021/1060 (RPDC)</t>
  </si>
  <si>
    <t xml:space="preserve">C2 — Période d’éligibilité</t>
  </si>
  <si>
    <t xml:space="preserve">Engagée et payée entre la date de début d'éligibilité (en général le dépôt du dossier complet) et la date de fin fixée par la convention. Aucune dépense antérieure au dépôt.</t>
  </si>
  <si>
    <t xml:space="preserve">Accusé de réception du dossier, dates des factures et des paiements</t>
  </si>
  <si>
    <t xml:space="preserve">C3 — Supportée par le bénéficiaire</t>
  </si>
  <si>
    <t xml:space="preserve">Facturée au nom de l'association et payée par elle ; le temps ou les biens payés par une autre entité ne sont pas éligibles (d'où les refacturations).</t>
  </si>
  <si>
    <t xml:space="preserve">Facture au nom de l’association, relevé bancaire</t>
  </si>
  <si>
    <t xml:space="preserve">C4 — Prix raisonnable</t>
  </si>
  <si>
    <t xml:space="preserve">Devis ou mise en concurrence selon les seuils de l'autorité de gestion (à confirmer). Si l'association est financée majoritairement sur fonds publics, elle peut relever de la commande publique (à vérifier avec FIDAL).</t>
  </si>
  <si>
    <t xml:space="preserve">Devis comparatifs, note de choix</t>
  </si>
  <si>
    <t xml:space="preserve">C5 — Pas de double financement</t>
  </si>
  <si>
    <t xml:space="preserve">Une même dépense ne peut être financée deux fois (autre fonds européen, autre aide, refacturation). Le temps refacturé au fonds et à Mare Services est exclu de l'assiette.</t>
  </si>
  <si>
    <t xml:space="preserve">Plan de financement, attestation sur l’honneur</t>
  </si>
  <si>
    <t xml:space="preserve">C6 — Coûts simplifiés</t>
  </si>
  <si>
    <t xml:space="preserve">Frais de structure : forfait de 15 % ; frais de mission : forfait de 6,3 % — les deux obligatoires, jamais au réel. La part des coûts réels au-delà des forfaits est supportée par le fonds de dotation.</t>
  </si>
  <si>
    <t xml:space="preserve">Onglet « Contrôle forfaits »</t>
  </si>
  <si>
    <t xml:space="preserve">C7 — TVA</t>
  </si>
  <si>
    <t xml:space="preserve">Éligible seulement si elle n'est pas récupérable (association non assujettie).</t>
  </si>
  <si>
    <t xml:space="preserve">Attestation de non-récupération de la TVA</t>
  </si>
  <si>
    <t xml:space="preserve">C8 — Traçabilité et conservation</t>
  </si>
  <si>
    <t xml:space="preserve">Codification comptable propre à l'opération ; pièces conservées 5 ans à compter du 31 décembre de l'année du dernier paiement (art. 82 RPDC).</t>
  </si>
  <si>
    <t xml:space="preserve">Grand livre analytique, archivage</t>
  </si>
  <si>
    <t xml:space="preserve">C9 — Publicité</t>
  </si>
  <si>
    <t xml:space="preserve">Logo UE et mention du soutien du FEAMPA sur les supports et le site ; affiche dans les locaux (art. 50 RPDC). Un manquement peut réduire l'aide.</t>
  </si>
  <si>
    <t xml:space="preserve">Captures du site, exemplaires, photo de l’affiche</t>
  </si>
  <si>
    <t xml:space="preserve">Le statut FEAMPA de chaque dépense, ses conditions et les prestataires chiffrés figurent en face de chaque sous-poste, onglet « Hypothèses » (colonnes G à J).</t>
  </si>
  <si>
    <t xml:space="preserve">BUDGET DE FONCTIONNEMENT PLURIANNUEL 2026-2029</t>
  </si>
  <si>
    <t xml:space="preserve">Structure de gouvernance et d'animation du projet Mare Durabilis — portée par l'association</t>
  </si>
  <si>
    <t xml:space="preserve">Légende</t>
  </si>
  <si>
    <t xml:space="preserve">Cellules bleues sur fond jaune</t>
  </si>
  <si>
    <t xml:space="preserve">valeurs à saisir ou à valider</t>
  </si>
  <si>
    <t xml:space="preserve">Cellules noires</t>
  </si>
  <si>
    <t xml:space="preserve">formules — ne pas écraser</t>
  </si>
  <si>
    <t xml:space="preserve">Cellules vertes</t>
  </si>
  <si>
    <t xml:space="preserve">liens vers un autre onglet</t>
  </si>
  <si>
    <t xml:space="preserve">Périmètre</t>
  </si>
  <si>
    <t xml:space="preserve">fonctionnement de la gouvernance uniquement — hors budget projets du fonds de dotation</t>
  </si>
  <si>
    <t xml:space="preserve">1. Moyens humains (quotité en ETP par exercice)</t>
  </si>
  <si>
    <t xml:space="preserve">Poste</t>
  </si>
  <si>
    <t xml:space="preserve">2026</t>
  </si>
  <si>
    <t xml:space="preserve">2027</t>
  </si>
  <si>
    <t xml:space="preserve">2028</t>
  </si>
  <si>
    <t xml:space="preserve">2029</t>
  </si>
  <si>
    <t xml:space="preserve">Commentaire</t>
  </si>
  <si>
    <t xml:space="preserve">Chef de projet</t>
  </si>
  <si>
    <t xml:space="preserve">Poste dédié — 0,60 ETP animation de l’écosystème (dossier public), 0,20 ETP refacturé au fonds, 0,20 ETP refacturé à Mare Services.</t>
  </si>
  <si>
    <t xml:space="preserve">Mois d'activité dans l'exercice</t>
  </si>
  <si>
    <t xml:space="preserve">2. Paramètres financiers</t>
  </si>
  <si>
    <t xml:space="preserve">Paramètre</t>
  </si>
  <si>
    <t xml:space="preserve">Valeur</t>
  </si>
  <si>
    <t xml:space="preserve">Statut FEAMPA</t>
  </si>
  <si>
    <t xml:space="preserve">Conditions FEAMPA et traitement retenu</t>
  </si>
  <si>
    <t xml:space="preserve">Prestataires et prix publics (relevés le 28/09/2026)</t>
  </si>
  <si>
    <t xml:space="preserve">Coût annuel chargé — ETP chef de projet</t>
  </si>
  <si>
    <t xml:space="preserve">Salaire brut chargé, base 2026. 55 000 € retenus (septembre 2026) : coût employeur estimé à 53-55 k€ pour 2 700 € net mensuels. Hors mutuelle et prévoyance, ajoutées ci-dessous.</t>
  </si>
  <si>
    <t xml:space="preserve">✅ Éligible</t>
  </si>
  <si>
    <t xml:space="preserve">Éligible au réel si C1-C9 + : contrat de travail et fiche de poste fixant l'affectation (0,60 ETP) ; feuilles de temps mensuelles signées ; bulletins de paie et preuve du paiement des charges. Coût horaire = salaire chargé ÷ 1 607 h. Le temps refacturé au fonds et à Mare Services est exclu. Frais de personnel éligibles : salaire brut, charges patronales et protection sociale complémentaire prévue au contrat (mutuelle, prévoyance).</t>
  </si>
  <si>
    <t xml:space="preserve">—</t>
  </si>
  <si>
    <t xml:space="preserve">Complémentaire santé — mutuelle Allianz, part employeur (€ par mois)</t>
  </si>
  <si>
    <t xml:space="preserve">Contrat collectif Allianz, 70 € par mois pris en charge à 100 % par l'employeur (minimum légal : 50 %). Frais de personnel éligibles au prorata de la quotité (0,60 ETP).</t>
  </si>
  <si>
    <t xml:space="preserve">Prévoyance cadre — incapacité, invalidité, décès, part employeur (€ par mois)</t>
  </si>
  <si>
    <t xml:space="preserve">Contrat collectif classique : décès (capital et rente éducation), incapacité de travail et invalidité, environ 1,75 % du salaire brut (≈ 3 460 € par mois), au-delà du minimum obligatoire des cadres (1,50 % de la tranche 1), financé à 100 % par l'employeur. À ajuster sur devis.</t>
  </si>
  <si>
    <t xml:space="preserve">Revalorisation salariale annuelle</t>
  </si>
  <si>
    <t xml:space="preserve">Appliquée à partir de 2027.</t>
  </si>
  <si>
    <t xml:space="preserve">Indexation des charges externes</t>
  </si>
  <si>
    <t xml:space="preserve">Frais généraux — taux forfaitaire</t>
  </si>
  <si>
    <t xml:space="preserve">Taux d'intervention publique cible</t>
  </si>
  <si>
    <t xml:space="preserve">Taux d'autofinancement de l'association</t>
  </si>
  <si>
    <t xml:space="preserve">Part du budget portée en ressources propres par l'association (cotisations, contributions).</t>
  </si>
  <si>
    <t xml:space="preserve">Quotité du chef de projet éligible au FEAMPA</t>
  </si>
  <si>
    <t xml:space="preserve">Temps consacré à l'animation de l'écosystème : les 0,20 ETP refacturés au fonds et les 0,20 ETP refacturés à Mare Services sont du temps passé pour une autre entité, exclu de l'assiette.</t>
  </si>
  <si>
    <t xml:space="preserve">Forfait FEAMPA de coûts indirects (% des frais de personnel éligibles)</t>
  </si>
  <si>
    <t xml:space="preserve">Coût simplifié obligatoire (art. 54 b) RPDC) : couvre loyer, fluides, télécom, assurances, fournitures, banque… qui ne peuvent pas être déclarés au réel. Le coût réel au-delà du forfait est supporté par le fonds de dotation (reste à charge).</t>
  </si>
  <si>
    <t xml:space="preserve">Forfait FEAMPA de frais de mission (% des frais de personnel éligibles)</t>
  </si>
  <si>
    <t xml:space="preserve">Coût simplifié obligatoire (DOMO FEAMPA) : couvre les frais de déplacement, d'hébergement et de repas du chef de projet, qui ne peuvent plus être déclarés au réel. Le coût réel au-delà du forfait est supporté par le fonds de dotation (reste à charge). À confirmer avec la Région Occitanie.</t>
  </si>
  <si>
    <t xml:space="preserve">3. Répartition des concours publics sollicités</t>
  </si>
  <si>
    <t xml:space="preserve">Financeur</t>
  </si>
  <si>
    <t xml:space="preserve">Part</t>
  </si>
  <si>
    <t xml:space="preserve">FEAMPA</t>
  </si>
  <si>
    <t xml:space="preserve">Fermeture du Fonds en 2027</t>
  </si>
  <si>
    <t xml:space="preserve">Région Occitanie</t>
  </si>
  <si>
    <t xml:space="preserve">État et agences publiques</t>
  </si>
  <si>
    <t xml:space="preserve">Contrôle — la somme des parts doit valoir 100 %</t>
  </si>
  <si>
    <t xml:space="preserve">4. Détail des charges externes — chaque bloc alimente une ligne de l'onglet Dépenses</t>
  </si>
  <si>
    <t xml:space="preserve">Saisir ici, jamais dans l'onglet Dépenses : les lignes de dépenses sont la somme des sous-postes de leur bloc.</t>
  </si>
  <si>
    <t xml:space="preserve">Sous-poste</t>
  </si>
  <si>
    <t xml:space="preserve">Base de calcul et commentaire</t>
  </si>
  <si>
    <t xml:space="preserve">2.1  Accompagnement juridique  →  Dépenses ligne 9</t>
  </si>
  <si>
    <t xml:space="preserve">FIDAL — mission 1 : statuts et création du fonds</t>
  </si>
  <si>
    <t xml:space="preserve">Engagée en 2026, avant l'existence de l'association : portée par la SATHOAN ou le fonds. À trancher.</t>
  </si>
  <si>
    <t xml:space="preserve">⚠️ Sous conditions</t>
  </si>
  <si>
    <t xml:space="preserve">Éligible si C1-C9 + : devis (C4) ; lettre de mission et facture détaillée rattachées à l'opération (statuts, conventions entre entités). Exclus : contentieux, amendes, pénalités.</t>
  </si>
  <si>
    <t xml:space="preserve">FIDAL (cabinet retenu par la SATHOAN) : lettre de mission n° 2026-15 du 20/02/2026 — missions 1 et 2 à 16 537,50 € HT chacune ; mission 3 (amorçage des financements, hors contrat 2026) : forfait plafonné à 70 000 € HT au cahier des charges SATHOAN (30 000 € blocs 1-2, 40 000 € bloc 3) ; taux horaire à demander pour le conseil courant · Comparaison : Adequatio Avocats : 200 € HT/h · Artemisia Lawyers : 300 € HT/h (associations) · Captain Contrat : abonnement 50 à 150 € HT/mois</t>
  </si>
  <si>
    <t xml:space="preserve">Lettre de mission FIDAL n° 2026-15 ; cahier des charges SATHOAN 2026 · https://www.adequatio-avocats.fr/honoraires/</t>
  </si>
  <si>
    <t xml:space="preserve">FIDAL — mission 2 : cadre applicatif et gouvernance des start-up</t>
  </si>
  <si>
    <t xml:space="preserve">Forfait de mission.</t>
  </si>
  <si>
    <t xml:space="preserve">FIDAL — mission 3 : convention de prestation et moyens partagés</t>
  </si>
  <si>
    <t xml:space="preserve">Conseil juridique courant (conventions, bail, contrats)</t>
  </si>
  <si>
    <t xml:space="preserve">Formalités, greffe et publications légales</t>
  </si>
  <si>
    <t xml:space="preserve">Une seule fois, en 2027. Déclaration de création et publication au JOAFE gratuites ; provision pour une modification statutaire par un prestataire en ligne (49 à 189 € HT, soit environ 230 € TTC au plus haut). Coût de structure : couvert par le forfait de 15 %.</t>
  </si>
  <si>
    <t xml:space="preserve">🔸 Forfait 15 %</t>
  </si>
  <si>
    <t xml:space="preserve">Non déclarable au réel : coût de structure couvert par le forfait de 15 %.</t>
  </si>
  <si>
    <t xml:space="preserve">Publication au JOAFE : gratuite · Legalstart, modification de statuts : 49 à 189 € HT · Retenu : 230 € TTC une seule fois, en 2027</t>
  </si>
  <si>
    <t xml:space="preserve">https://www.service-public.gouv.fr/particuliers/vosdroits/F1119</t>
  </si>
  <si>
    <t xml:space="preserve">2.2  Accompagnement stratégique et financier  →  Dépenses ligne 10</t>
  </si>
  <si>
    <t xml:space="preserve">Ingénierie de financement — montage des dossiers publics</t>
  </si>
  <si>
    <t xml:space="preserve">Éligible si C1-C9 + : devis, lettre de mission et livrables. Aucune dépense antérieure au dépôt du dossier (C2). Rémunération au pourcentage de l'aide obtenue à proscrire (à confirmer).</t>
  </si>
  <si>
    <t xml:space="preserve">CCI Territoire de Belfort : forfait 1 950 € HT (3 j × 650 €) ; fonds européens 1,5 % de l’aide (1 950 à 5 000 € HT) · Malt : TJM ≈ 300 €/j à Montpellier</t>
  </si>
  <si>
    <t xml:space="preserve">https://www.belfort.cci.fr/produit/Accompagnement%20au%20montage%20de%20dossier%20de%20subvention</t>
  </si>
  <si>
    <t xml:space="preserve">Conseil en stratégie de collecte et relations mécènes</t>
  </si>
  <si>
    <t xml:space="preserve">Appui au plan de financement et modélisation budgétaire</t>
  </si>
  <si>
    <t xml:space="preserve">2.3  Études et expertises  →  Dépenses ligne 11</t>
  </si>
  <si>
    <t xml:space="preserve">Expertises techniques ponctuelles</t>
  </si>
  <si>
    <t xml:space="preserve">Éligible si C1-C9 + : devis, lettre de mission et livrable rattachés à l'opération. 0 € au budget à ce stade.</t>
  </si>
  <si>
    <t xml:space="preserve">2.4  Communication, édition, site internet  →  Dépenses ligne 12</t>
  </si>
  <si>
    <t xml:space="preserve">Nom de domaine — payé par la SATHOAN, refacturé à l'association</t>
  </si>
  <si>
    <t xml:space="preserve">Environ 15 € par an, déjà payé par la SATHOAN et refacturé au coût réel, sans marge, sur convention et facture. Hébergement du site mutualisé avec les outils de Mare Services (Vercel). Coût indirect : couvert par le forfait de 15 %.</t>
  </si>
  <si>
    <t xml:space="preserve">Non déclarable au réel : coût indirect couvert par le forfait de 15 %. Payés par la SATHOAN et refacturés à l'association au coût réel, sans marge, sur convention et facture.</t>
  </si>
  <si>
    <t xml:space="preserve">Nom de domaine : environ 15 € par an, payé par la SATHOAN et refacturé · Hébergement mutualisé avec Mare Services (Vercel)</t>
  </si>
  <si>
    <t xml:space="preserve">https://www.ovhcloud.com/fr/web-hosting/</t>
  </si>
  <si>
    <t xml:space="preserve">Maintenance et évolutions des sites internet</t>
  </si>
  <si>
    <t xml:space="preserve">0 € : l'association se greffe sur les outils déjà payés par Mare Services (équipe Vercel, compte Brevo) — pas de doublon. Maintenance faite en interne. Stripe inutile : l'association n'encaisse pas de paiement en ligne (un compte Stripe est propre à chaque entité juridique, sans abonnement).</t>
  </si>
  <si>
    <t xml:space="preserve">0 € : outils mutualisés avec Mare Services (Vercel, Brevo), maintenance en interne. Si une prestation devient nécessaire : directe seulement pour des pages propres à l'opération, sur devis (C4) et avec la mention FEAMPA (C9).</t>
  </si>
  <si>
    <t xml:space="preserve">Freelance (Adrien Bouchez) : 29 à 49 € HT/mois · WeComm : dès 79 € HT/mois</t>
  </si>
  <si>
    <t xml:space="preserve">https://adrienbouchez.fr/tarif-maintenance-wordpress-2026/</t>
  </si>
  <si>
    <t xml:space="preserve">Identité visuelle et déclinaisons</t>
  </si>
  <si>
    <t xml:space="preserve">Éligible si C1-C9 + : devis ; supports rattachés à l'opération, portant le logo UE et la mention du FEAMPA (C9). 0 € au budget à ce stade.</t>
  </si>
  <si>
    <t xml:space="preserve">Impression de supports (plaquettes, affiches, kakémonos)</t>
  </si>
  <si>
    <t xml:space="preserve">Éligible si C1-C9 + : supports rattachés à une action de l'opération, portant le logo UE et la mention du FEAMPA ; un exemplaire conservé.</t>
  </si>
  <si>
    <t xml:space="preserve">Printoclock : 500 dépliants 3 volets 71 € HT · Pixelprint : roll-up 85×200 39 € HT</t>
  </si>
  <si>
    <t xml:space="preserve">https://www.printoclock.com/landing-page/440-depliant</t>
  </si>
  <si>
    <t xml:space="preserve">Photographie et vidéo</t>
  </si>
  <si>
    <t xml:space="preserve">Éligible si C1-C9 + : reportage lié à une action de l'opération, devis, cession de droits d'utilisation.</t>
  </si>
  <si>
    <t xml:space="preserve">PhotoPresta Montpellier : 512 à 750 € la demi-journée · Baromètre Malt : 430 à 465 €/j</t>
  </si>
  <si>
    <t xml:space="preserve">https://photopresta.fr/photographe-corporate/montpellier</t>
  </si>
  <si>
    <t xml:space="preserve">Abonnements aux outils de diffusion et réseaux sociaux</t>
  </si>
  <si>
    <t xml:space="preserve">Non déclarable au réel : outil général de l'association, couvert par le forfait de 15 %.</t>
  </si>
  <si>
    <t xml:space="preserve">Canva pour les associations : gratuit · Brevo : gratuit jusqu’à 300 e-mails/jour</t>
  </si>
  <si>
    <t xml:space="preserve">https://www.canva.com/help/canva-for-nonprofits/</t>
  </si>
  <si>
    <t xml:space="preserve">3.1  Déplacements du chef de projet  →  Dépenses ligne 15</t>
  </si>
  <si>
    <t xml:space="preserve">Véhicule de la SATHOAN — utilisation refacturée à l'association</t>
  </si>
  <si>
    <t xml:space="preserve">Pas de véhicule personnel : la SATHOAN refacture l'usage de son véhicule. Hypothèse : 5 000 km/an valorisés au barème fiscal 5 CV (0,636 €/km), six mois en 2027. Justificatifs : convention, carnet de bord, facture.</t>
  </si>
  <si>
    <t xml:space="preserve">🔹 Forfait 6,3 %</t>
  </si>
  <si>
    <t xml:space="preserve">Non déclarable au réel : couvert par le forfait de frais de mission de 6,3 % des frais de personnel éligibles ; le coût au-delà du forfait est supporté par le fonds de dotation (reste à charge). Ordres de mission conservés pour attester des déplacements. Refacturation SATHOAN sur convention, carnet de bord et facture au barème kilométrique, sans marge.</t>
  </si>
  <si>
    <t xml:space="preserve">Base retenue : barème fiscal 5 CV, 0,636 €/km, soit 3 180 € pour 5 000 km</t>
  </si>
  <si>
    <t xml:space="preserve">https://www.economie.gouv.fr/particuliers/impots-et-fiscalite/gerer-mon-impot-sur-le-revenu/impot-sur-le-revenu-tout-savoir-sur-le-bareme-des-frais-kilometriques</t>
  </si>
  <si>
    <t xml:space="preserve">Billets de train</t>
  </si>
  <si>
    <t xml:space="preserve">Sète – Montpellier, Marseille, Paris.</t>
  </si>
  <si>
    <t xml:space="preserve">Non déclarable au réel : couvert par le forfait de frais de mission de 6,3 % des frais de personnel éligibles ; le coût au-delà du forfait est supporté par le fonds de dotation (reste à charge). Ordres de mission conservés pour attester des déplacements.</t>
  </si>
  <si>
    <t xml:space="preserve">OUIGO Sète–Paris : dès 19 € · SNCF Sète–Paris : 25 à 89 € · Carte Avantage : 49 €/an</t>
  </si>
  <si>
    <t xml:space="preserve">https://www.ouigo.com/train-sete-paris</t>
  </si>
  <si>
    <t xml:space="preserve">Billets d'avion</t>
  </si>
  <si>
    <t xml:space="preserve">Rome, Bruxelles, une à deux fois par an.</t>
  </si>
  <si>
    <t xml:space="preserve">Transavia Montpellier–Rome : dès 33 € · Montpellier–Bruxelles : dès 96 € l’aller (eDreams)</t>
  </si>
  <si>
    <t xml:space="preserve">https://www.transavia.com/aeroports/fr-fr/aeroport-montpellier-mediterranee/montpellier-rome</t>
  </si>
  <si>
    <t xml:space="preserve">Location de véhicule</t>
  </si>
  <si>
    <t xml:space="preserve">Getaround Sète : dès 33 €/j · Ucar : dès 49 €/j</t>
  </si>
  <si>
    <t xml:space="preserve">https://fr.getaround.com/location-voiture/sete</t>
  </si>
  <si>
    <t xml:space="preserve">Stationnement, péages et transports urbains</t>
  </si>
  <si>
    <t xml:space="preserve">Frais de déplacement courants.</t>
  </si>
  <si>
    <t xml:space="preserve">3.2  Frais de mission  →  Dépenses ligne 16</t>
  </si>
  <si>
    <t xml:space="preserve">Hébergement (nuitées)</t>
  </si>
  <si>
    <t xml:space="preserve">Environ 10 nuitées par an</t>
  </si>
  <si>
    <t xml:space="preserve">Forfaits Urssaf 2026 : repas 21,40 €, nuitée province 56,80 €, Paris 76,60 € (lus sur LégiSocial)</t>
  </si>
  <si>
    <t xml:space="preserve">https://www.legisocial.fr/reperes-sociaux/allocations-forfaitaires-frais-professionnels-2026.html</t>
  </si>
  <si>
    <t xml:space="preserve">Repas en mission</t>
  </si>
  <si>
    <t xml:space="preserve">Barème forfaitaire par repas.</t>
  </si>
  <si>
    <t xml:space="preserve">Frais de représentation — transférés au fonds de dotation (bloc C)</t>
  </si>
  <si>
    <t xml:space="preserve">Transféré au fonds de dotation (bloc C) : non éligible au FEAMPA. Réceptions de partenaires et de mécènes organisées au nom du fonds, sur ses ressources privées (200 € en 2027, 100 €/an ensuite).</t>
  </si>
  <si>
    <t xml:space="preserve">➡️ Transféré au FDD</t>
  </si>
  <si>
    <t xml:space="preserve">Non éligible : réceptions, cadeaux et invitations ne sont pas retenus. Transféré au fonds de dotation (bloc C) : réceptions de partenaires et de mécènes organisées au nom du fonds, sur ses ressources privées.</t>
  </si>
  <si>
    <t xml:space="preserve">Inscriptions à des colloques et salons</t>
  </si>
  <si>
    <t xml:space="preserve">Assises de la pêche, salons professionnels.</t>
  </si>
  <si>
    <t xml:space="preserve">Éligible au réel si C1-C9 + : programme de l'événement montrant le lien avec l'opération ; facture d'inscription ; attestation de présence. Frais d'inscription, distincts des frais de mission couverts par le forfait de 6,3 % (à confirmer).</t>
  </si>
  <si>
    <t xml:space="preserve">Seafood Expo Global Barcelone : entrée 105 à 150 €</t>
  </si>
  <si>
    <t xml:space="preserve">https://www.seafoodexpo.com/global/pricing/</t>
  </si>
  <si>
    <t xml:space="preserve">4.1  Ateliers, réunions de filière, comités  →  Dépenses ligne 19</t>
  </si>
  <si>
    <t xml:space="preserve">Location de salles</t>
  </si>
  <si>
    <t xml:space="preserve">Éligible si C1-C9 + : réunion de l'opération ; convocation et ordre du jour ; feuille d'émargement ; compte rendu ; affichage FEAMPA (C9).</t>
  </si>
  <si>
    <t xml:space="preserve">Auxiliaire System Montpellier : 62 à 170 € HT la demi-journée · Quai des Moulins (Sète) : dès 170 €/jour</t>
  </si>
  <si>
    <t xml:space="preserve">https://asmillenaire.com/tarifs-location-salle-de-reunion/</t>
  </si>
  <si>
    <t xml:space="preserve">Restauration et pauses (traiteur, plateaux-repas)</t>
  </si>
  <si>
    <t xml:space="preserve">Comités consultatifs et réunions de filière.</t>
  </si>
  <si>
    <t xml:space="preserve">Idem salles + nombre de couverts cohérent avec l'émargement ; pas d'alcool.</t>
  </si>
  <si>
    <t xml:space="preserve">Traiteur des Garrigues : plateaux 16,90 à 28 € HT · La Table de Cana : pause 3,75 à 4,50 € TTC/pers.</t>
  </si>
  <si>
    <t xml:space="preserve">https://www.traiteurdesgarrigues.com/e-boutique-plateaux-repas-w1.html</t>
  </si>
  <si>
    <t xml:space="preserve">Matériel d'animation et impressions de séance</t>
  </si>
  <si>
    <t xml:space="preserve">Paperboard, badges, dossiers de séance.</t>
  </si>
  <si>
    <t xml:space="preserve">Idem location de salles : réunion de l'opération, convocation, ordre du jour, feuille d'émargement ; facture détaillée.</t>
  </si>
  <si>
    <t xml:space="preserve">Défraiement des participants (professionnels, administrateurs)</t>
  </si>
  <si>
    <t xml:space="preserve">Remboursement des trajets des pêcheurs.</t>
  </si>
  <si>
    <t xml:space="preserve">Éligible si C1-C9 + : frais réellement payés aux participants et justifiés (état de frais, barème kilométrique, preuve de virement). Le bénévolat valorisé n'est pas admis.</t>
  </si>
  <si>
    <t xml:space="preserve">Barème kilométrique : 0,636 €/km (5 CV)</t>
  </si>
  <si>
    <t xml:space="preserve">4.2  Concertation avec les partenaires extérieurs  →  Dépenses ligne 20</t>
  </si>
  <si>
    <t xml:space="preserve">Réunions bilatérales et frais associés</t>
  </si>
  <si>
    <t xml:space="preserve">Éligible si C1-C9 + : réunion rattachée à l'opération (objet, date, participants) ; facture détaillée.</t>
  </si>
  <si>
    <t xml:space="preserve">5.1  Location des locaux Mare Durabilis  →  Dépenses ligne 23 — transféré au FDD</t>
  </si>
  <si>
    <t xml:space="preserve">Loyer annuel du bureau</t>
  </si>
  <si>
    <t xml:space="preserve">700 € par mois. Transféré au fonds de dotation (bloc C) : bail porté par le fonds, bureau mis à disposition de l'association par convention.</t>
  </si>
  <si>
    <t xml:space="preserve">Non déclarable au réel, donc transféré au fonds (bloc C) et mis à disposition par convention. Le guide national des OCS classe la « location de bureau » parmi les frais généraux indirects, et le DOMO FEAMPA précise : « dès lors qu'une OCS existe, elle doit être obligatoirement appliquée » — le loyer est donc couvert par le forfait de 15 % et ne peut pas faire l'objet d'une demande séparée. Dépôt de garantie non éligible. À confirmer avec le DOMO FEAMPA Occitanie.</t>
  </si>
  <si>
    <t xml:space="preserve">Budget retenu : 700 €/mois, porté par le fonds · Repères : Geolocaux Sète 78 €/m²/an en centre-ville ; coworking Sète, bureau privatif 300 à 600 €/mois</t>
  </si>
  <si>
    <t xml:space="preserve">https://www.europe-guadeloupe.fr/wp-content/uploads/2024/10/Guide-des-Options-de-Couts-Simplifies.pdf</t>
  </si>
  <si>
    <t xml:space="preserve">Frais d'agence et constitution du dépôt de garantie</t>
  </si>
  <si>
    <t xml:space="preserve">Transféré au fonds de dotation (bloc C) : bail porté par le fonds, bureau mis à disposition de l'association par convention.</t>
  </si>
  <si>
    <t xml:space="preserve">Taxe d'enlèvement des ordures ménagères refacturée</t>
  </si>
  <si>
    <t xml:space="preserve">Charges de copropriété refacturées</t>
  </si>
  <si>
    <t xml:space="preserve">5.2  Charges locatives, fluides et entretien  →  Dépenses ligne 24</t>
  </si>
  <si>
    <t xml:space="preserve">Électricité</t>
  </si>
  <si>
    <t xml:space="preserve">Environ 40 €/mois.</t>
  </si>
  <si>
    <t xml:space="preserve">Non déclarable au réel : coûts indirects couverts par le forfait de 15 %.</t>
  </si>
  <si>
    <t xml:space="preserve">EDF Tarif Bleu Pro 6 kVA : 15,33 € HT/mois + 0,1624 €/kWh (lu sur Selectra) · Ménage : 25 à 33 € HT/h (Hello Nettoyage)</t>
  </si>
  <si>
    <t xml:space="preserve">https://entreprises.selectra.info/energie/fournisseurs/edf/tarifs-bleu-professionnel</t>
  </si>
  <si>
    <t xml:space="preserve">Eau</t>
  </si>
  <si>
    <t xml:space="preserve">Environ 10 €/mois.</t>
  </si>
  <si>
    <t xml:space="preserve">Ménage et nettoyage</t>
  </si>
  <si>
    <t xml:space="preserve">Prestation, deux passages par mois.</t>
  </si>
  <si>
    <t xml:space="preserve">Petites réparations et maintenance</t>
  </si>
  <si>
    <t xml:space="preserve">Provision annuelle.</t>
  </si>
  <si>
    <t xml:space="preserve">5.3  Assurances de l'association  →  Dépenses ligne 25</t>
  </si>
  <si>
    <t xml:space="preserve">Multirisque locaux et biens</t>
  </si>
  <si>
    <t xml:space="preserve">Prime annuelle.</t>
  </si>
  <si>
    <t xml:space="preserve">Mutuelle de Poitiers : dès 55 €/an · Orus : RC dès 13 €/mois, multirisque 25 à 40 €/mois · RC des dirigeants : aucun tarif public</t>
  </si>
  <si>
    <t xml:space="preserve">https://www.orus.eu/assurance-professionnelle/association</t>
  </si>
  <si>
    <t xml:space="preserve">Responsabilité civile de l'association</t>
  </si>
  <si>
    <t xml:space="preserve">Couvre les manifestations et l'accueil de public.</t>
  </si>
  <si>
    <t xml:space="preserve">Assurance des dirigeants (RC mandataires sociaux)</t>
  </si>
  <si>
    <t xml:space="preserve">Administrateurs de l'association.</t>
  </si>
  <si>
    <t xml:space="preserve">Assurance des déplacements et missions</t>
  </si>
  <si>
    <t xml:space="preserve">Extension auto-mission.</t>
  </si>
  <si>
    <t xml:space="preserve">5.4  Télécommunications, internet et abonnements  →  Dépenses ligne 26</t>
  </si>
  <si>
    <t xml:space="preserve">Abonnement internet et ligne fixe</t>
  </si>
  <si>
    <t xml:space="preserve">Environ 35 €/mois.</t>
  </si>
  <si>
    <t xml:space="preserve">Bouygues Pro : 34,99 € HT/mois · Free Pro : 39,99 € HT/mois · Mobile Free Pro : 5,99 à 19,99 € HT/mois</t>
  </si>
  <si>
    <t xml:space="preserve">https://pro.free.fr/</t>
  </si>
  <si>
    <t xml:space="preserve">Forfait mobile du chef de projet</t>
  </si>
  <si>
    <t xml:space="preserve">Environ 20 €/mois.</t>
  </si>
  <si>
    <t xml:space="preserve">Suite bureautique et messagerie (licences)</t>
  </si>
  <si>
    <t xml:space="preserve">Deux comptes.</t>
  </si>
  <si>
    <t xml:space="preserve">Microsoft 365 Business Basic : gratuit pour les associations (Teams et stockage inclus) · Google Workspace for Nonprofits : gratuit · Yousign : 9 € HT/mois</t>
  </si>
  <si>
    <t xml:space="preserve">https://www.microsoft.com/fr-fr/microsoft-365/business/nonprofit-plans-and-pricing</t>
  </si>
  <si>
    <t xml:space="preserve">Hébergement de fichiers et sauvegarde</t>
  </si>
  <si>
    <t xml:space="preserve">Stockage en ligne.</t>
  </si>
  <si>
    <t xml:space="preserve">Outil de visioconférence</t>
  </si>
  <si>
    <t xml:space="preserve">Licence annuelle.</t>
  </si>
  <si>
    <t xml:space="preserve">Logiciel de comptabilité et de paie</t>
  </si>
  <si>
    <t xml:space="preserve">Abonnement Claude — Claude Code inclus (chef de projet)</t>
  </si>
  <si>
    <t xml:space="preserve">Formule Max 5x : environ 90 € HT, soit 108 € TTC par mois (TVA non récupérable). Six mois en 2027, puis indexé. La formule Pro (environ 18 € HT, 21,60 € TTC par mois) inclut aussi Claude Code, avec des limites d'usage plus basses.</t>
  </si>
  <si>
    <t xml:space="preserve">Signature électronique</t>
  </si>
  <si>
    <t xml:space="preserve">Conventions et contrats.</t>
  </si>
  <si>
    <t xml:space="preserve">5.5  Fournitures et petit équipement  →  Dépenses ligne 27</t>
  </si>
  <si>
    <t xml:space="preserve">Ordinateur portable et écran</t>
  </si>
  <si>
    <t xml:space="preserve">0 € au budget : pas d'achat prévu. En cas d'achat, traitement à vérifier avec le service instructeur (coût direct amorti ou coût indirect couvert par le forfait de 15 %).</t>
  </si>
  <si>
    <t xml:space="preserve">Mobilier de bureau (bureau, siège, armoire)</t>
  </si>
  <si>
    <t xml:space="preserve">Transféré au fonds de dotation (bloc C) : mobilier de première installation acquis par le fonds.</t>
  </si>
  <si>
    <t xml:space="preserve">Non déclarable au réel, donc transféré au fonds (bloc C) et mis à disposition. Le mobilier de bureau relève des frais généraux couverts par le forfait de 15 %. Le DOMO FEAMPA n'ouvre l'amortissement qu'aux « matériels et instruments […] dans le cadre des actions de recherche et d'innovation (seul l'amortissement sur la durée du projet sera éligible) » — ce n'est pas le cas d'un bureau d'animation. À confirmer avec le DOMO Occitanie.</t>
  </si>
  <si>
    <t xml:space="preserve">IKEA : bureau 149 € + chaise 199 € + armoire 299 € TTC · Bruneau : bureau 145 € HT, fauteuil 419 € HT, armoire 599 € HT (budget retenu : 10 000 €, porté par le fonds)</t>
  </si>
  <si>
    <t xml:space="preserve">https://www.europe-guadeloupe.fr/wp-content/uploads/2024/10/DOMO-FEAMPA.pdf</t>
  </si>
  <si>
    <t xml:space="preserve">Imprimante multifonction</t>
  </si>
  <si>
    <t xml:space="preserve">Abonnement</t>
  </si>
  <si>
    <t xml:space="preserve">Non déclarable au réel : consommables couverts par le forfait de 15 %.</t>
  </si>
  <si>
    <t xml:space="preserve">Infodeos : location 32 à 40 € HT/mois + pages · Bruneau : ramette 5,99 à 7,15 € HT · Capsules : 0,21 à 0,42 €</t>
  </si>
  <si>
    <t xml:space="preserve">https://infodeos.com/location-photocopieur/prix-et-tarifs/</t>
  </si>
  <si>
    <t xml:space="preserve">Papier pour l'imprimante, cartouches et toner</t>
  </si>
  <si>
    <t xml:space="preserve">Consommables d'impression.</t>
  </si>
  <si>
    <t xml:space="preserve">Fournitures de bureau (stylos, classeurs, chemises, enveloppes)</t>
  </si>
  <si>
    <t xml:space="preserve">Réassort courant.</t>
  </si>
  <si>
    <t xml:space="preserve">Consommables sanitaires (papier toilette, savon, essuie-mains)</t>
  </si>
  <si>
    <t xml:space="preserve">Produits d'entretien</t>
  </si>
  <si>
    <t xml:space="preserve">Compléments à la prestation de ménage.</t>
  </si>
  <si>
    <t xml:space="preserve">Café, thé, eau et consommables de convivialité</t>
  </si>
  <si>
    <t xml:space="preserve">Accueil des professionnels et des partenaires.</t>
  </si>
  <si>
    <t xml:space="preserve">Affranchissement et courrier</t>
  </si>
  <si>
    <t xml:space="preserve">Convocations, envois recommandés.</t>
  </si>
  <si>
    <t xml:space="preserve">Non déclarable au réel : coût indirect couvert par le forfait de 15 %.</t>
  </si>
  <si>
    <t xml:space="preserve">La Poste 2026 : lettre verte 1,52 € · recommandé R1 6,11 €</t>
  </si>
  <si>
    <t xml:space="preserve">https://www.laposte.fr/professionnel/tarifs-postaux-courrier-lettres-timbres</t>
  </si>
  <si>
    <t xml:space="preserve">Petit matériel divers</t>
  </si>
  <si>
    <t xml:space="preserve">Provision.</t>
  </si>
  <si>
    <t xml:space="preserve">5.6  Cotisations, frais bancaires et divers  →  Dépenses ligne 28</t>
  </si>
  <si>
    <t xml:space="preserve">Cotisations à des réseaux et fédérations</t>
  </si>
  <si>
    <t xml:space="preserve">Réseaux de fondations, têtes de réseau pêche.</t>
  </si>
  <si>
    <t xml:space="preserve">Non déclarable au réel : coûts de structure couverts par le forfait de 15 %.</t>
  </si>
  <si>
    <t xml:space="preserve">Qonto : 9 € HT/mois · CFF : 500 €/an (&lt; 100 k€ de produits) · France générosités : 1 235 €/an</t>
  </si>
  <si>
    <t xml:space="preserve">https://qonto.com/fr/pricing</t>
  </si>
  <si>
    <t xml:space="preserve">Frais bancaires de l'association</t>
  </si>
  <si>
    <t xml:space="preserve">Tenue de compte et moyens de paiement.</t>
  </si>
  <si>
    <t xml:space="preserve">Médecine du travail (service de prévention et de santé au travail)</t>
  </si>
  <si>
    <t xml:space="preserve">Adhésion obligatoire au service interentreprises, environ 120 € par salarié et par an. Coût de structure : couvert par le forfait de 15 %.</t>
  </si>
  <si>
    <t xml:space="preserve">Frais d'assemblée générale</t>
  </si>
  <si>
    <t xml:space="preserve">Convocations, location de salle, émargement.</t>
  </si>
  <si>
    <t xml:space="preserve">5.7  Frais financiers  →  Dépenses ligne 29</t>
  </si>
  <si>
    <t xml:space="preserve">Intérêts de l’avance de trésorerie du Crédit Maritime (non éligibles)</t>
  </si>
  <si>
    <t xml:space="preserve">Repris de l'onglet Trésorerie (intérêts calculés trimestre par trimestre). 2029 inclut les intérêts courant en 2030 et 2031 jusqu'au versement du solde FEAMPA. Non éligibles (intérêts débiteurs, art. 64 RPDC) : couverts par le fonds via le reste à charge.</t>
  </si>
  <si>
    <t xml:space="preserve">❌ Non éligible</t>
  </si>
  <si>
    <t xml:space="preserve">Intérêts débiteurs non éligibles (art. 64 RPDC) : inscrits au budget et supportés par le fonds de dotation via le reste à charge (bloc B.3).</t>
  </si>
  <si>
    <t xml:space="preserve">Crédit Maritime : avance de trésorerie adossée à la convention FEAMPA, taux de 5 % retenu (à confirmer)</t>
  </si>
  <si>
    <t xml:space="preserve">Onglet « Trésorerie »</t>
  </si>
  <si>
    <t xml:space="preserve">Note — les valeurs saisies sont des ordres de grandeur de travail, à remplacer par les données réelles de l'association.</t>
  </si>
  <si>
    <t xml:space="preserve">Le cahier des charges FIDAL évoque une fourchette de 70 à 200 k€ pour le fonctionnement : préciser si elle est annuelle ou sur la période.</t>
  </si>
  <si>
    <t xml:space="preserve">Frais généraux et frais de mission : forfaits obligatoires (15 % et 6,3 % des frais de personnel éligibles), jamais au réel. Le détail réel des blocs 3 et 5 sert à mesurer la part que les forfaits ne couvrent pas, portée par le fonds.</t>
  </si>
  <si>
    <t xml:space="preserve">DÉPENSES DE FONCTIONNEMENT 2026-2029</t>
  </si>
  <si>
    <t xml:space="preserve">Aucune saisie sur cette feuille : chaque ligne est la somme des sous-postes de l'onglet Hypothèses.</t>
  </si>
  <si>
    <t xml:space="preserve">Poste de dépense</t>
  </si>
  <si>
    <t xml:space="preserve">Total</t>
  </si>
  <si>
    <t xml:space="preserve">1. CHARGES DE PERSONNEL</t>
  </si>
  <si>
    <t xml:space="preserve">Protection sociale complémentaire du chef de projet (mutuelle Allianz, prévoyance)</t>
  </si>
  <si>
    <t xml:space="preserve">Sous-total charges de personnel</t>
  </si>
  <si>
    <t xml:space="preserve">2. PRESTATIONS EXTERNES</t>
  </si>
  <si>
    <t xml:space="preserve">Accompagnement juridique</t>
  </si>
  <si>
    <t xml:space="preserve">Accompagnement stratégique et financier (ingénierie)</t>
  </si>
  <si>
    <t xml:space="preserve">Études et expertises</t>
  </si>
  <si>
    <t xml:space="preserve">Communication, édition, site internet</t>
  </si>
  <si>
    <t xml:space="preserve">Sous-total prestations externes</t>
  </si>
  <si>
    <t xml:space="preserve">3. DÉPLACEMENTS ET MISSIONS</t>
  </si>
  <si>
    <t xml:space="preserve">Déplacements du chef de projet</t>
  </si>
  <si>
    <t xml:space="preserve">Frais de mission (hébergement, repas, colloques)</t>
  </si>
  <si>
    <t xml:space="preserve">Sous-total déplacements et missions</t>
  </si>
  <si>
    <t xml:space="preserve">4. ANIMATION ET CONCERTATION</t>
  </si>
  <si>
    <t xml:space="preserve">Ateliers, réunions de filière, comités</t>
  </si>
  <si>
    <t xml:space="preserve">Concertation avec les partenaires extérieurs</t>
  </si>
  <si>
    <t xml:space="preserve">Sous-total animation et concertation</t>
  </si>
  <si>
    <t xml:space="preserve">5. FRAIS GÉNÉRAUX ET FINANCIERS (locaux et mobilier portés par le fonds de dotation)</t>
  </si>
  <si>
    <t xml:space="preserve">Location des locaux — transférée au fonds de dotation (bloc C)</t>
  </si>
  <si>
    <t xml:space="preserve">Charges locatives, fluides et entretien</t>
  </si>
  <si>
    <t xml:space="preserve">Assurances de l'association</t>
  </si>
  <si>
    <t xml:space="preserve">Télécommunications, internet et abonnements</t>
  </si>
  <si>
    <t xml:space="preserve">Fournitures et petit équipement</t>
  </si>
  <si>
    <t xml:space="preserve">Cotisations, frais bancaires et divers</t>
  </si>
  <si>
    <t xml:space="preserve">Frais financiers — avance de trésorerie du Crédit Maritime (non éligibles)</t>
  </si>
  <si>
    <t xml:space="preserve">Sous-total frais généraux et financiers</t>
  </si>
  <si>
    <t xml:space="preserve">TOTAL DÉPENSES</t>
  </si>
  <si>
    <t xml:space="preserve">Périmètre — ce budget couvre le fonctionnement de la gouvernance. Il ne comprend ni les projets financés par le fonds de dotation, ni les dépenses des structures économiques.</t>
  </si>
  <si>
    <t xml:space="preserve">Les locaux et le mobilier sont portés par le fonds de dotation (bloc C) et mis à disposition de l'association par convention. Les autres frais de structure restent à l'association et sont couverts, côté FEAMPA, par le forfait de 15 %.</t>
  </si>
  <si>
    <t xml:space="preserve">ASSIETTE ÉLIGIBLE FEAMPA — coûts simplifiés</t>
  </si>
  <si>
    <t xml:space="preserve">Chef de projet — part éligible (salaire chargé et protection sociale, quotité hors temps refacturé)</t>
  </si>
  <si>
    <t xml:space="preserve">Forfait de coûts indirects (15 % des frais de personnel éligibles)</t>
  </si>
  <si>
    <t xml:space="preserve">Prestations externes directes (juridique, ingénierie, études, communication), hors frais couverts par le forfait</t>
  </si>
  <si>
    <t xml:space="preserve">Forfait de frais de mission (6,3 % des frais de personnel éligibles : déplacements, hébergement, repas)</t>
  </si>
  <si>
    <t xml:space="preserve">Inscriptions à des colloques et salons liés à l’opération (au réel, hors forfait de mission — à confirmer)</t>
  </si>
  <si>
    <t xml:space="preserve">Animation et concertation (réunions de l'opération)</t>
  </si>
  <si>
    <t xml:space="preserve">TOTAL ASSIETTE ÉLIGIBLE</t>
  </si>
  <si>
    <t xml:space="preserve">Hors assiette : frais de structure et frais de mission réels (couverts par les forfaits de 15 % et de 6,3 % ; la part non couverte est supportée par le fonds de dotation via le reste à charge) ; frais de représentation ; temps refacturé au fonds et à Mare Services. Détail : onglet « Contrôle forfaits ».</t>
  </si>
  <si>
    <t xml:space="preserve">PLAN DE FINANCEMENT 2026-2029</t>
  </si>
  <si>
    <t xml:space="preserve">Ressource</t>
  </si>
  <si>
    <t xml:space="preserve">FINANCEMENTS PUBLICS</t>
  </si>
  <si>
    <t xml:space="preserve">Sous-total financements publics</t>
  </si>
  <si>
    <t xml:space="preserve">RESSOURCES PROPRES ET PRIVÉES</t>
  </si>
  <si>
    <t xml:space="preserve">Refacturation au fonds de dotation — quote-part du chef de projet (0,20 ETP)</t>
  </si>
  <si>
    <t xml:space="preserve">Refacturation au fonds de dotation — quote-part des moyens matériels (20 %)</t>
  </si>
  <si>
    <t xml:space="preserve">Refacturation à Mare Services — quote-part du chef de projet (0,20 ETP)</t>
  </si>
  <si>
    <t xml:space="preserve">Refacturation à Mare Services — quote-part des moyens matériels (20 %)</t>
  </si>
  <si>
    <t xml:space="preserve">Reste à charge de la part non publique — versé par le fonds de dotation à l'association (bloc B.3)</t>
  </si>
  <si>
    <t xml:space="preserve">Autofinancement de l'association (1 % des dépenses)</t>
  </si>
  <si>
    <t xml:space="preserve">Sous-total ressources propres et privées</t>
  </si>
  <si>
    <t xml:space="preserve">TOTAL RESSOURCES</t>
  </si>
  <si>
    <t xml:space="preserve">SYNTHÈSE 2026-2029</t>
  </si>
  <si>
    <t xml:space="preserve">Indicateur</t>
  </si>
  <si>
    <t xml:space="preserve">Total des dépenses</t>
  </si>
  <si>
    <t xml:space="preserve">Total des ressources</t>
  </si>
  <si>
    <t xml:space="preserve">Écart</t>
  </si>
  <si>
    <t xml:space="preserve">Dont charges de personnel</t>
  </si>
  <si>
    <t xml:space="preserve">Dont prestations externes</t>
  </si>
  <si>
    <t xml:space="preserve">Dont déplacements et missions</t>
  </si>
  <si>
    <t xml:space="preserve">Dont animation et concertation</t>
  </si>
  <si>
    <t xml:space="preserve">Dont frais généraux et financiers (hors locaux et mobilier, portés par le fonds)</t>
  </si>
  <si>
    <t xml:space="preserve">Dont financements publics</t>
  </si>
  <si>
    <t xml:space="preserve">Dont refacturations au fonds de dotation (service rendu)</t>
  </si>
  <si>
    <t xml:space="preserve">Dont refacturation à Mare Services (0,20 ETP et 20 % des moyens matériels)</t>
  </si>
  <si>
    <t xml:space="preserve">Dont reste à charge de la part non publique reçu du fonds de dotation</t>
  </si>
  <si>
    <t xml:space="preserve">Dont autofinancement de l'association</t>
  </si>
  <si>
    <t xml:space="preserve">Taux de financement public</t>
  </si>
  <si>
    <t xml:space="preserve">Part des charges de personnel</t>
  </si>
  <si>
    <t xml:space="preserve">Coût annuel moyen de la gouvernance</t>
  </si>
  <si>
    <t xml:space="preserve">Part du budget portée par le fonds de dotation</t>
  </si>
  <si>
    <t xml:space="preserve">CONTRÔLE DES FORFAITS FEAMPA — frais de structure (15 %) et frais de mission (6,3 %)</t>
  </si>
  <si>
    <t xml:space="preserve">Les deux forfaits sont obligatoires : ni les frais de structure ni les frais de mission ne peuvent être déclarés au réel. Cet onglet mesure la part des coûts réels couverte par chaque forfait ; le reste est supporté par le fonds de dotation, via le reste à charge versé à l'association (bloc B.3). Aucune saisie : tout est calculé.</t>
  </si>
  <si>
    <t xml:space="preserve">A. FORFAIT DE 15 % — FRAIS DE STRUCTURE (coûts indirects, art. 54 b) RPDC)</t>
  </si>
  <si>
    <t xml:space="preserve">Frais de personnel directs éligibles — chef de projet, 0,60 ETP</t>
  </si>
  <si>
    <t xml:space="preserve">Taux forfaitaire</t>
  </si>
  <si>
    <t xml:space="preserve">Forfait de 15 % déclaré dans l’assiette</t>
  </si>
  <si>
    <t xml:space="preserve">   dont aide FEAMPA correspondante (taux d’intervention)</t>
  </si>
  <si>
    <t xml:space="preserve">Coûts indirects réels supportés par l’association — non déclarables au réel</t>
  </si>
  <si>
    <t xml:space="preserve">   Formalités, greffe, publications légales</t>
  </si>
  <si>
    <t xml:space="preserve">   Nom de domaine (refacturé par la SATHOAN)</t>
  </si>
  <si>
    <t xml:space="preserve">   Abonnements aux outils de diffusion</t>
  </si>
  <si>
    <t xml:space="preserve">   Charges locatives, fluides et entretien</t>
  </si>
  <si>
    <t xml:space="preserve">   Assurances de l’association</t>
  </si>
  <si>
    <t xml:space="preserve">   Télécommunications, internet et abonnements</t>
  </si>
  <si>
    <t xml:space="preserve">   Fournitures et petit équipement</t>
  </si>
  <si>
    <t xml:space="preserve">   Cotisations, frais bancaires et divers</t>
  </si>
  <si>
    <t xml:space="preserve">Total des frais de structure réels</t>
  </si>
  <si>
    <t xml:space="preserve">Part supportée par le forfait de 15 %</t>
  </si>
  <si>
    <t xml:space="preserve">Reste supporté par le fonds de dotation (reste à charge B.3)</t>
  </si>
  <si>
    <t xml:space="preserve">B. FORFAIT DE 6,3 % — FRAIS DE MISSION (déplacements, hébergement, repas du chef de projet)</t>
  </si>
  <si>
    <t xml:space="preserve">Forfait de 6,3 % déclaré dans l’assiette</t>
  </si>
  <si>
    <t xml:space="preserve">6,3 % des frais de personnel éligibles (ligne 5). Acquis sans justificatif de dépense.</t>
  </si>
  <si>
    <t xml:space="preserve">Frais de mission réels (véhicule SATHOAN, train, avion, location, stationnement, nuitées, repas)</t>
  </si>
  <si>
    <t xml:space="preserve">Hors inscriptions aux colloques (déclarées au réel) et hors frais de représentation (transférés au fonds).</t>
  </si>
  <si>
    <t xml:space="preserve">Part supportée par le forfait de 6,3 %</t>
  </si>
  <si>
    <t xml:space="preserve">C. SYNTHÈSE — FRAIS COUVERTS PAR LES FORFAITS ET PAR LE FONDS</t>
  </si>
  <si>
    <t xml:space="preserve">Frais de structure et de mission réels</t>
  </si>
  <si>
    <t xml:space="preserve">   supportés par les forfaits FEAMPA (15 % et 6,3 %)</t>
  </si>
  <si>
    <t xml:space="preserve">   supportés par le fonds de dotation</t>
  </si>
  <si>
    <t xml:space="preserve">Taux de couverture par les forfaits</t>
  </si>
  <si>
    <t xml:space="preserve">D. CONTRÔLES — tous doivent afficher « ok »</t>
  </si>
  <si>
    <t xml:space="preserve">Le forfait de 15 % vaut exactement 15 % des frais de personnel éligibles</t>
  </si>
  <si>
    <t xml:space="preserve">Le forfait de 6,3 % vaut exactement 6,3 % des frais de personnel éligibles</t>
  </si>
  <si>
    <t xml:space="preserve">Le salaire déclaré n’excède pas la quotité éligible (0,60 ETP)</t>
  </si>
  <si>
    <t xml:space="preserve">Aucun frais de structure ni de mission au réel : assiette = personnel + deux forfaits + dépenses directes recalculées</t>
  </si>
  <si>
    <t xml:space="preserve">Recalcul indépendant depuis Hypothèses : conseil juridique, ingénierie, études, communication directe, colloques, animation.</t>
  </si>
  <si>
    <t xml:space="preserve">Contrôle global</t>
  </si>
  <si>
    <t xml:space="preserve">PLAN DE TRÉSORERIE DE L'ASSOCIATION — encaissements et décaissements par trimestre</t>
  </si>
  <si>
    <t xml:space="preserve">Calculé depuis les onglets Dépenses et Ressources. 2027 : charges et refacturations sur T3-T4 (recrutement au 1er juillet), formalités au T1 ; reste à charge (B.3) versé par quarts, comme au planning du fonds ; aide FEAMPA versée sur demande de paiement semestrielle, après service fait et sur factures acquittées. 2030-2031 : seulement la fin de l'opération 2027-2029 (versements FEAMPA restants et remboursement de l'avance), sans les charges de ces exercices.</t>
  </si>
  <si>
    <t xml:space="preserve">HYPOTHÈSES DE TRÉSORERIE</t>
  </si>
  <si>
    <t xml:space="preserve">Délai entre la fin du semestre justifié et le versement FEAMPA (trimestres)</t>
  </si>
  <si>
    <t xml:space="preserve">Délai constaté : un à deux ans entre la demande de paiement et le versement. Hypothèse retenue : deux ans (8 trimestres), à confirmer avec le service instructeur.</t>
  </si>
  <si>
    <t xml:space="preserve">Trésorerie minimale de sécurité</t>
  </si>
  <si>
    <t xml:space="preserve">Solde plancher maintenu sur le compte ; l'avance est tirée dès que le solde passerait dessous.</t>
  </si>
  <si>
    <t xml:space="preserve">Taux annuel de l'avance de trésorerie — Crédit Maritime</t>
  </si>
  <si>
    <t xml:space="preserve">À confirmer avec le Crédit Maritime (avance sur subvention adossée à la convention FEAMPA).</t>
  </si>
  <si>
    <t xml:space="preserve">Quotité maximale de l'avance (en % de l'aide FEAMPA notifiée)</t>
  </si>
  <si>
    <t xml:space="preserve">Ordre de grandeur usuel des avances sur subvention, à confirmer avec la banque.</t>
  </si>
  <si>
    <t xml:space="preserve">T1 2027</t>
  </si>
  <si>
    <t xml:space="preserve">T2 2027</t>
  </si>
  <si>
    <t xml:space="preserve">T3 2027</t>
  </si>
  <si>
    <t xml:space="preserve">T4 2027</t>
  </si>
  <si>
    <t xml:space="preserve">T1 2028</t>
  </si>
  <si>
    <t xml:space="preserve">T2 2028</t>
  </si>
  <si>
    <t xml:space="preserve">T3 2028</t>
  </si>
  <si>
    <t xml:space="preserve">T4 2028</t>
  </si>
  <si>
    <t xml:space="preserve">T1 2029</t>
  </si>
  <si>
    <t xml:space="preserve">T2 2029</t>
  </si>
  <si>
    <t xml:space="preserve">T3 2029</t>
  </si>
  <si>
    <t xml:space="preserve">T4 2029</t>
  </si>
  <si>
    <t xml:space="preserve">T1 2030</t>
  </si>
  <si>
    <t xml:space="preserve">T2 2030</t>
  </si>
  <si>
    <t xml:space="preserve">T3 2030</t>
  </si>
  <si>
    <t xml:space="preserve">T4 2030</t>
  </si>
  <si>
    <t xml:space="preserve">T1 2031</t>
  </si>
  <si>
    <t xml:space="preserve">T2 2031</t>
  </si>
  <si>
    <t xml:space="preserve">T3 2031</t>
  </si>
  <si>
    <t xml:space="preserve">T4 2031</t>
  </si>
  <si>
    <t xml:space="preserve">Base de calcul</t>
  </si>
  <si>
    <t xml:space="preserve">ENCAISSEMENTS</t>
  </si>
  <si>
    <t xml:space="preserve">Refacturation au fonds — 0,20 ETP et moyens matériels</t>
  </si>
  <si>
    <t xml:space="preserve">Facturée chaque mois sur convention, réglée dans le trimestre. Apportée directement par le fonds : hors aide publique.</t>
  </si>
  <si>
    <t xml:space="preserve">Refacturation à Mare Services — 0,20 ETP et moyens matériels</t>
  </si>
  <si>
    <t xml:space="preserve">Idem, réglée par Mare Services. Hors aide publique.</t>
  </si>
  <si>
    <t xml:space="preserve">Reste à charge versé par le fonds (bloc B.3)</t>
  </si>
  <si>
    <t xml:space="preserve">Versé par quarts en début de trimestre, comme au planning financier du fonds.</t>
  </si>
  <si>
    <t xml:space="preserve">Autofinancement — cotisations des membres</t>
  </si>
  <si>
    <t xml:space="preserve">Appelées au premier trimestre de chaque exercice.</t>
  </si>
  <si>
    <t xml:space="preserve">Aide FEAMPA versée</t>
  </si>
  <si>
    <t xml:space="preserve">Versement de la demande de paiement du semestre, décalé du délai fixé en B5.</t>
  </si>
  <si>
    <t xml:space="preserve">TOTAL DES ENCAISSEMENTS</t>
  </si>
  <si>
    <t xml:space="preserve">DÉCAISSEMENTS</t>
  </si>
  <si>
    <t xml:space="preserve">Charges de personnel (salaires et cotisations)</t>
  </si>
  <si>
    <t xml:space="preserve">Chef de projet recruté au 1er juillet 2027.</t>
  </si>
  <si>
    <t xml:space="preserve">Prestations externes</t>
  </si>
  <si>
    <t xml:space="preserve">Formalités de création au T1 2027 ; le reste au fil des trimestres.</t>
  </si>
  <si>
    <t xml:space="preserve">Déplacements et missions</t>
  </si>
  <si>
    <t xml:space="preserve">Animation et concertation</t>
  </si>
  <si>
    <t xml:space="preserve">Frais généraux (hors frais financiers)</t>
  </si>
  <si>
    <t xml:space="preserve">Intérêts de l'avance Crédit Maritime</t>
  </si>
  <si>
    <t xml:space="preserve">Encours de fin du trimestre précédent × taux annuel ÷ 4.</t>
  </si>
  <si>
    <t xml:space="preserve">TOTAL DES DÉCAISSEMENTS</t>
  </si>
  <si>
    <t xml:space="preserve">Solde du trimestre avant avance</t>
  </si>
  <si>
    <t xml:space="preserve">Trésorerie avant avance</t>
  </si>
  <si>
    <t xml:space="preserve">AVANCE DE TRÉSORERIE — CRÉDIT MARITIME</t>
  </si>
  <si>
    <t xml:space="preserve">Tirage sur l'avance</t>
  </si>
  <si>
    <t xml:space="preserve">Tiré dès que la trésorerie passerait sous le plancher de sécurité (plancher levé en 2030, fin de l'opération).</t>
  </si>
  <si>
    <t xml:space="preserve">Remboursement de l'avance</t>
  </si>
  <si>
    <t xml:space="preserve">Remboursé dès que la trésorerie dépasse le plancher, en pratique à chaque versement FEAMPA.</t>
  </si>
  <si>
    <t xml:space="preserve">Encours de l'avance en fin de trimestre</t>
  </si>
  <si>
    <t xml:space="preserve">Trésorerie en fin de trimestre</t>
  </si>
  <si>
    <t xml:space="preserve">SUIVI DES DEMANDES DE PAIEMENT FEAMPA</t>
  </si>
  <si>
    <t xml:space="preserve">Aide acquise sur les dépenses du semestre (demande de paiement)</t>
  </si>
  <si>
    <t xml:space="preserve">Demande déposée à la fin de chaque semestre, sur factures acquittées. 2027 : toute l'activité est au second semestre.</t>
  </si>
  <si>
    <t xml:space="preserve">Aide FEAMPA restant à percevoir (fin de trimestre)</t>
  </si>
  <si>
    <t xml:space="preserve">INDICATEURS ET CONTRÔLES</t>
  </si>
  <si>
    <t xml:space="preserve">Avance maximale mobilisée — montant à demander au Crédit Maritime</t>
  </si>
  <si>
    <t xml:space="preserve">Plafond indicatif de l'avance (quotité × aide FEAMPA notifiée)</t>
  </si>
  <si>
    <t xml:space="preserve">Contrôle — avance sous le plafond</t>
  </si>
  <si>
    <t xml:space="preserve">Intérêts calculés sur la période (2027-2031)</t>
  </si>
  <si>
    <t xml:space="preserve">Intérêts inscrits au budget (Dépenses, ligne 28)</t>
  </si>
  <si>
    <t xml:space="preserve">Si le contrôle signale un écart, recopier les intérêts annuels de la ligne 24 dans Hypothèses (ligne « Intérêts de l'avance »).</t>
  </si>
  <si>
    <t xml:space="preserve">Contrôle — intérêts budgétés = intérêts calculés (à 10 € près)</t>
  </si>
  <si>
    <t xml:space="preserve">Contrôle — avance soldée à la fin de l’opération</t>
  </si>
  <si>
    <t xml:space="preserve">Contrôle — encaissements = ressources du budget</t>
  </si>
</sst>
</file>

<file path=xl/styles.xml><?xml version="1.0" encoding="utf-8"?>
<styleSheet xmlns="http://schemas.openxmlformats.org/spreadsheetml/2006/main">
  <numFmts count="10">
    <numFmt numFmtId="164" formatCode="General"/>
    <numFmt numFmtId="165" formatCode="#,##0&quot; €&quot;;\-#,##0&quot; €&quot;;\—"/>
    <numFmt numFmtId="166" formatCode="0.00"/>
    <numFmt numFmtId="167" formatCode="0.0"/>
    <numFmt numFmtId="168" formatCode="#,##0&quot; €&quot;;\(#,##0&quot; €)&quot;;\-"/>
    <numFmt numFmtId="169" formatCode="#,##0&quot; €&quot;"/>
    <numFmt numFmtId="170" formatCode="0.0%"/>
    <numFmt numFmtId="171" formatCode="0%"/>
    <numFmt numFmtId="172" formatCode="@"/>
    <numFmt numFmtId="173" formatCode="0"/>
  </numFmts>
  <fonts count="28">
    <font>
      <sz val="11"/>
      <color theme="1"/>
      <name val="Calibri"/>
      <family val="2"/>
      <charset val="1"/>
    </font>
    <font>
      <sz val="10"/>
      <name val="Arial"/>
      <family val="0"/>
    </font>
    <font>
      <sz val="10"/>
      <name val="Arial"/>
      <family val="0"/>
    </font>
    <font>
      <sz val="10"/>
      <name val="Arial"/>
      <family val="0"/>
    </font>
    <font>
      <b val="true"/>
      <sz val="13"/>
      <color rgb="FF16256B"/>
      <name val="Arial"/>
      <family val="0"/>
      <charset val="1"/>
    </font>
    <font>
      <i val="true"/>
      <sz val="9"/>
      <color rgb="FF6B7280"/>
      <name val="Arial"/>
      <family val="0"/>
      <charset val="1"/>
    </font>
    <font>
      <b val="true"/>
      <sz val="10"/>
      <color rgb="FF16256B"/>
      <name val="Arial"/>
      <family val="0"/>
      <charset val="1"/>
    </font>
    <font>
      <b val="true"/>
      <sz val="10"/>
      <color rgb="FFFFFFFF"/>
      <name val="Arial"/>
      <family val="0"/>
      <charset val="1"/>
    </font>
    <font>
      <b val="true"/>
      <sz val="9"/>
      <name val="Arial"/>
      <family val="0"/>
      <charset val="1"/>
    </font>
    <font>
      <sz val="9"/>
      <name val="Arial"/>
      <family val="0"/>
      <charset val="1"/>
    </font>
    <font>
      <u val="single"/>
      <sz val="9"/>
      <color rgb="FF0074B5"/>
      <name val="Arial"/>
      <family val="0"/>
      <charset val="1"/>
    </font>
    <font>
      <b val="true"/>
      <sz val="14"/>
      <color rgb="FF16256B"/>
      <name val="Arial"/>
      <family val="2"/>
      <charset val="1"/>
    </font>
    <font>
      <sz val="10"/>
      <color rgb="FF6B7280"/>
      <name val="Arial"/>
      <family val="2"/>
      <charset val="1"/>
    </font>
    <font>
      <b val="true"/>
      <sz val="11"/>
      <color rgb="FF0E8A8A"/>
      <name val="Arial"/>
      <family val="2"/>
      <charset val="1"/>
    </font>
    <font>
      <sz val="10"/>
      <color rgb="FF0000FF"/>
      <name val="Arial"/>
      <family val="2"/>
      <charset val="1"/>
    </font>
    <font>
      <sz val="9"/>
      <color rgb="FF6B7280"/>
      <name val="Arial"/>
      <family val="2"/>
      <charset val="1"/>
    </font>
    <font>
      <sz val="10"/>
      <name val="Arial"/>
      <family val="2"/>
      <charset val="1"/>
    </font>
    <font>
      <sz val="10"/>
      <color rgb="FF008000"/>
      <name val="Arial"/>
      <family val="2"/>
      <charset val="1"/>
    </font>
    <font>
      <b val="true"/>
      <sz val="10"/>
      <color rgb="FFFFFFFF"/>
      <name val="Arial"/>
      <family val="2"/>
      <charset val="1"/>
    </font>
    <font>
      <sz val="9"/>
      <color rgb="FF6B7280"/>
      <name val="Arial"/>
      <family val="0"/>
      <charset val="1"/>
    </font>
    <font>
      <b val="true"/>
      <sz val="9"/>
      <color rgb="FF6B7280"/>
      <name val="Arial"/>
      <family val="2"/>
      <charset val="1"/>
    </font>
    <font>
      <b val="true"/>
      <sz val="10"/>
      <name val="Arial"/>
      <family val="2"/>
      <charset val="1"/>
    </font>
    <font>
      <sz val="9"/>
      <color rgb="FFC00000"/>
      <name val="Arial"/>
      <family val="2"/>
      <charset val="1"/>
    </font>
    <font>
      <b val="true"/>
      <sz val="10"/>
      <color rgb="FF16256B"/>
      <name val="Arial"/>
      <family val="2"/>
      <charset val="1"/>
    </font>
    <font>
      <sz val="9"/>
      <name val="Arial"/>
      <family val="2"/>
      <charset val="1"/>
    </font>
    <font>
      <sz val="9"/>
      <color rgb="FF0000FF"/>
      <name val="Arial"/>
      <family val="2"/>
      <charset val="1"/>
    </font>
    <font>
      <u val="single"/>
      <sz val="9"/>
      <color rgb="FF0563C1"/>
      <name val="Arial"/>
      <family val="0"/>
      <charset val="1"/>
    </font>
    <font>
      <b val="true"/>
      <sz val="11"/>
      <color rgb="FFFFFFFF"/>
      <name val="Arial"/>
      <family val="2"/>
      <charset val="1"/>
    </font>
  </fonts>
  <fills count="5">
    <fill>
      <patternFill patternType="none"/>
    </fill>
    <fill>
      <patternFill patternType="gray125"/>
    </fill>
    <fill>
      <patternFill patternType="solid">
        <fgColor rgb="FFEEF1F8"/>
        <bgColor rgb="FFFFFFFF"/>
      </patternFill>
    </fill>
    <fill>
      <patternFill patternType="solid">
        <fgColor rgb="FF16256B"/>
        <bgColor rgb="FF333399"/>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C9D2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6" fontId="14" fillId="4" borderId="0" xfId="0" applyFont="true" applyBorder="false" applyAlignment="true" applyProtection="false">
      <alignment horizontal="center" vertical="bottom" textRotation="0" wrapText="false" indent="0" shrinkToFit="false"/>
      <protection locked="true" hidden="false"/>
    </xf>
    <xf numFmtId="167" fontId="14" fillId="4"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8" fontId="14" fillId="4" borderId="0" xfId="0" applyFont="tru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9" fontId="14" fillId="4" borderId="0" xfId="0" applyFont="true" applyBorder="false" applyAlignment="true" applyProtection="false">
      <alignment horizontal="center" vertical="top" textRotation="0" wrapText="false" indent="0" shrinkToFit="false"/>
      <protection locked="true" hidden="false"/>
    </xf>
    <xf numFmtId="170" fontId="14" fillId="4" borderId="0" xfId="0" applyFont="true" applyBorder="false" applyAlignment="true" applyProtection="false">
      <alignment horizontal="center" vertical="bottom" textRotation="0" wrapText="false" indent="0" shrinkToFit="false"/>
      <protection locked="true" hidden="false"/>
    </xf>
    <xf numFmtId="171" fontId="14" fillId="4"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70" fontId="21"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8" fontId="25" fillId="4" borderId="0" xfId="0" applyFont="true" applyBorder="false" applyAlignment="true" applyProtection="false">
      <alignment horizontal="right" vertical="top" textRotation="0" wrapText="fals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23"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72" fontId="18" fillId="3" borderId="0" xfId="0" applyFont="true" applyBorder="false" applyAlignment="true" applyProtection="false">
      <alignment horizontal="center" vertical="bottom" textRotation="0" wrapText="false" indent="0" shrinkToFit="false"/>
      <protection locked="true" hidden="false"/>
    </xf>
    <xf numFmtId="168" fontId="17" fillId="0" borderId="0" xfId="0" applyFont="true" applyBorder="false" applyAlignment="true" applyProtection="false">
      <alignment horizontal="right" vertical="bottom" textRotation="0" wrapText="false" indent="0" shrinkToFit="false"/>
      <protection locked="true" hidden="false"/>
    </xf>
    <xf numFmtId="168" fontId="21" fillId="0" borderId="0" xfId="0" applyFont="true" applyBorder="false" applyAlignment="true" applyProtection="false">
      <alignment horizontal="right" vertical="bottom" textRotation="0" wrapText="false" indent="0" shrinkToFit="false"/>
      <protection locked="true" hidden="false"/>
    </xf>
    <xf numFmtId="168" fontId="16" fillId="0" borderId="0" xfId="0" applyFont="true" applyBorder="false" applyAlignment="true" applyProtection="false">
      <alignment horizontal="right"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false" indent="0" shrinkToFit="false"/>
      <protection locked="true" hidden="false"/>
    </xf>
    <xf numFmtId="168" fontId="27" fillId="3" borderId="0" xfId="0" applyFont="true" applyBorder="false" applyAlignment="true" applyProtection="false">
      <alignment horizontal="right" vertical="bottom" textRotation="0" wrapText="false" indent="0" shrinkToFit="false"/>
      <protection locked="true" hidden="false"/>
    </xf>
    <xf numFmtId="168" fontId="14" fillId="4" borderId="0" xfId="0" applyFont="true" applyBorder="false" applyAlignment="true" applyProtection="false">
      <alignment horizontal="right" vertical="bottom" textRotation="0" wrapText="false" indent="0" shrinkToFit="false"/>
      <protection locked="true" hidden="false"/>
    </xf>
    <xf numFmtId="170" fontId="16" fillId="0" borderId="0" xfId="0" applyFont="true" applyBorder="false" applyAlignment="true" applyProtection="false">
      <alignment horizontal="right" vertical="bottom" textRotation="0" wrapText="false" indent="0" shrinkToFit="false"/>
      <protection locked="true" hidden="false"/>
    </xf>
    <xf numFmtId="170" fontId="21"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right" vertical="bottom" textRotation="0" wrapText="false" indent="0" shrinkToFit="false"/>
      <protection locked="true" hidden="false"/>
    </xf>
    <xf numFmtId="168" fontId="17" fillId="0" borderId="0" xfId="0" applyFont="true" applyBorder="false" applyAlignment="true" applyProtection="false">
      <alignment horizontal="center" vertical="bottom" textRotation="0" wrapText="false" indent="0" shrinkToFit="false"/>
      <protection locked="true" hidden="false"/>
    </xf>
    <xf numFmtId="168" fontId="21" fillId="0" borderId="0" xfId="0" applyFont="true" applyBorder="false" applyAlignment="true" applyProtection="false">
      <alignment horizontal="center" vertical="bottom" textRotation="0" wrapText="false" indent="0" shrinkToFit="false"/>
      <protection locked="true" hidden="false"/>
    </xf>
    <xf numFmtId="173" fontId="17" fillId="0" borderId="0" xfId="0" applyFont="true" applyBorder="false" applyAlignment="true" applyProtection="false">
      <alignment horizontal="right" vertical="bottom" textRotation="0" wrapText="false" indent="0" shrinkToFit="false"/>
      <protection locked="true" hidden="false"/>
    </xf>
    <xf numFmtId="169" fontId="17" fillId="0" borderId="0" xfId="0" applyFont="true" applyBorder="false" applyAlignment="true" applyProtection="false">
      <alignment horizontal="right" vertical="bottom" textRotation="0" wrapText="false" indent="0" shrinkToFit="false"/>
      <protection locked="true" hidden="false"/>
    </xf>
    <xf numFmtId="171" fontId="17"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9" fontId="21"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E8A8A"/>
      <rgbColor rgb="FFC0C0C0"/>
      <rgbColor rgb="FF808080"/>
      <rgbColor rgb="FF9999FF"/>
      <rgbColor rgb="FF993366"/>
      <rgbColor rgb="FFEEF1F8"/>
      <rgbColor rgb="FFCCFFFF"/>
      <rgbColor rgb="FF660066"/>
      <rgbColor rgb="FFFF8080"/>
      <rgbColor rgb="FF0563C1"/>
      <rgbColor rgb="FFC9D2DE"/>
      <rgbColor rgb="FF000080"/>
      <rgbColor rgb="FFFF00FF"/>
      <rgbColor rgb="FFFFFF00"/>
      <rgbColor rgb="FF00FFFF"/>
      <rgbColor rgb="FF800080"/>
      <rgbColor rgb="FF800000"/>
      <rgbColor rgb="FF0074B5"/>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625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basicompta.fr/tarifs" TargetMode="External"/><Relationship Id="rId2" Type="http://schemas.openxmlformats.org/officeDocument/2006/relationships/hyperlink" Target="https://www.adequatio-avocats.fr/honoraires/" TargetMode="External"/><Relationship Id="rId3" Type="http://schemas.openxmlformats.org/officeDocument/2006/relationships/hyperlink" Target="https://www.service-public.gouv.fr/particuliers/vosdroits/F1119" TargetMode="External"/><Relationship Id="rId4" Type="http://schemas.openxmlformats.org/officeDocument/2006/relationships/hyperlink" Target="https://www.belfort.cci.fr/produit/Accompagnement%20au%20montage%20de%20dossier%20de%20subvention" TargetMode="External"/><Relationship Id="rId5" Type="http://schemas.openxmlformats.org/officeDocument/2006/relationships/hyperlink" Target="https://www.tradonline.fr/lagence/nos-tarif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adequatio-avocats.fr/honoraires/" TargetMode="External"/><Relationship Id="rId2" Type="http://schemas.openxmlformats.org/officeDocument/2006/relationships/hyperlink" Target="https://www.service-public.gouv.fr/particuliers/vosdroits/F1119" TargetMode="External"/><Relationship Id="rId3" Type="http://schemas.openxmlformats.org/officeDocument/2006/relationships/hyperlink" Target="https://www.belfort.cci.fr/produit/Accompagnement%20au%20montage%20de%20dossier%20de%20subvention" TargetMode="External"/><Relationship Id="rId4" Type="http://schemas.openxmlformats.org/officeDocument/2006/relationships/hyperlink" Target="https://www.ovhcloud.com/fr/web-hosting/" TargetMode="External"/><Relationship Id="rId5" Type="http://schemas.openxmlformats.org/officeDocument/2006/relationships/hyperlink" Target="https://adrienbouchez.fr/tarif-maintenance-wordpress-2026/" TargetMode="External"/><Relationship Id="rId6" Type="http://schemas.openxmlformats.org/officeDocument/2006/relationships/hyperlink" Target="https://www.printoclock.com/landing-page/440-depliant" TargetMode="External"/><Relationship Id="rId7" Type="http://schemas.openxmlformats.org/officeDocument/2006/relationships/hyperlink" Target="https://photopresta.fr/photographe-corporate/montpellier" TargetMode="External"/><Relationship Id="rId8" Type="http://schemas.openxmlformats.org/officeDocument/2006/relationships/hyperlink" Target="https://www.canva.com/help/canva-for-nonprofits/" TargetMode="External"/><Relationship Id="rId9" Type="http://schemas.openxmlformats.org/officeDocument/2006/relationships/hyperlink" Target="https://www.economie.gouv.fr/particuliers/impots-et-fiscalite/gerer-mon-impot-sur-le-revenu/impot-sur-le-revenu-tout-savoir-sur-le-bareme-des-frais-kilometriques" TargetMode="External"/><Relationship Id="rId10" Type="http://schemas.openxmlformats.org/officeDocument/2006/relationships/hyperlink" Target="https://www.ouigo.com/train-sete-paris" TargetMode="External"/><Relationship Id="rId11" Type="http://schemas.openxmlformats.org/officeDocument/2006/relationships/hyperlink" Target="https://www.transavia.com/aeroports/fr-fr/aeroport-montpellier-mediterranee/montpellier-rome" TargetMode="External"/><Relationship Id="rId12" Type="http://schemas.openxmlformats.org/officeDocument/2006/relationships/hyperlink" Target="https://fr.getaround.com/location-voiture/sete" TargetMode="External"/><Relationship Id="rId13" Type="http://schemas.openxmlformats.org/officeDocument/2006/relationships/hyperlink" Target="https://www.legisocial.fr/reperes-sociaux/allocations-forfaitaires-frais-professionnels-2026.html" TargetMode="External"/><Relationship Id="rId14" Type="http://schemas.openxmlformats.org/officeDocument/2006/relationships/hyperlink" Target="https://www.seafoodexpo.com/global/pricing/" TargetMode="External"/><Relationship Id="rId15" Type="http://schemas.openxmlformats.org/officeDocument/2006/relationships/hyperlink" Target="https://asmillenaire.com/tarifs-location-salle-de-reunion/" TargetMode="External"/><Relationship Id="rId16" Type="http://schemas.openxmlformats.org/officeDocument/2006/relationships/hyperlink" Target="https://www.traiteurdesgarrigues.com/e-boutique-plateaux-repas-w1.html" TargetMode="External"/><Relationship Id="rId17" Type="http://schemas.openxmlformats.org/officeDocument/2006/relationships/hyperlink" Target="https://www.europe-guadeloupe.fr/wp-content/uploads/2024/10/Guide-des-Options-de-Couts-Simplifies.pdf" TargetMode="External"/><Relationship Id="rId18" Type="http://schemas.openxmlformats.org/officeDocument/2006/relationships/hyperlink" Target="https://entreprises.selectra.info/energie/fournisseurs/edf/tarifs-bleu-professionnel" TargetMode="External"/><Relationship Id="rId19" Type="http://schemas.openxmlformats.org/officeDocument/2006/relationships/hyperlink" Target="https://www.orus.eu/assurance-professionnelle/association" TargetMode="External"/><Relationship Id="rId20" Type="http://schemas.openxmlformats.org/officeDocument/2006/relationships/hyperlink" Target="https://pro.free.fr/" TargetMode="External"/><Relationship Id="rId21" Type="http://schemas.openxmlformats.org/officeDocument/2006/relationships/hyperlink" Target="https://www.microsoft.com/fr-fr/microsoft-365/business/nonprofit-plans-and-pricing" TargetMode="External"/><Relationship Id="rId22" Type="http://schemas.openxmlformats.org/officeDocument/2006/relationships/hyperlink" Target="https://www.europe-guadeloupe.fr/wp-content/uploads/2024/10/DOMO-FEAMPA.pdf" TargetMode="External"/><Relationship Id="rId23" Type="http://schemas.openxmlformats.org/officeDocument/2006/relationships/hyperlink" Target="https://infodeos.com/location-photocopieur/prix-et-tarifs/" TargetMode="External"/><Relationship Id="rId24" Type="http://schemas.openxmlformats.org/officeDocument/2006/relationships/hyperlink" Target="https://www.laposte.fr/professionnel/tarifs-postaux-courrier-lettres-timbres" TargetMode="External"/><Relationship Id="rId25" Type="http://schemas.openxmlformats.org/officeDocument/2006/relationships/hyperlink" Target="https://qonto.com/fr/pric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0" colorId="64" zoomScale="69" zoomScaleNormal="69" zoomScalePageLayoutView="100" workbookViewId="0">
      <selection pane="topLeft" activeCell="D64" activeCellId="0" sqref="D64"/>
    </sheetView>
  </sheetViews>
  <sheetFormatPr defaultColWidth="8.6328125" defaultRowHeight="14.2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20"/>
    <col collapsed="false" customWidth="true" hidden="false" outlineLevel="0" max="4" min="4" style="1" width="52"/>
    <col collapsed="false" customWidth="true" hidden="false" outlineLevel="0" max="5" min="5" style="1" width="62"/>
    <col collapsed="false" customWidth="true" hidden="false" outlineLevel="0" max="6" min="6" style="1" width="40"/>
  </cols>
  <sheetData>
    <row r="1" customFormat="false" ht="15.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5"/>
      <c r="C3" s="5"/>
      <c r="D3" s="5"/>
      <c r="E3" s="5"/>
      <c r="F3" s="5"/>
    </row>
    <row r="4" customFormat="false" ht="15" hidden="false" customHeight="true" outlineLevel="0" collapsed="false">
      <c r="A4" s="6" t="s">
        <v>3</v>
      </c>
      <c r="B4" s="6"/>
      <c r="C4" s="6"/>
      <c r="D4" s="6" t="s">
        <v>4</v>
      </c>
      <c r="E4" s="6" t="s">
        <v>5</v>
      </c>
      <c r="F4" s="6" t="s">
        <v>6</v>
      </c>
    </row>
    <row r="5" customFormat="false" ht="48" hidden="false" customHeight="true" outlineLevel="0" collapsed="false">
      <c r="A5" s="7" t="s">
        <v>7</v>
      </c>
      <c r="B5" s="8"/>
      <c r="C5" s="9"/>
      <c r="D5" s="9" t="s">
        <v>8</v>
      </c>
      <c r="E5" s="9" t="s">
        <v>9</v>
      </c>
      <c r="F5" s="10" t="s">
        <v>10</v>
      </c>
    </row>
    <row r="6" customFormat="false" ht="48" hidden="false" customHeight="true" outlineLevel="0" collapsed="false">
      <c r="A6" s="7" t="s">
        <v>11</v>
      </c>
      <c r="B6" s="8"/>
      <c r="C6" s="9"/>
      <c r="D6" s="9" t="s">
        <v>12</v>
      </c>
      <c r="E6" s="9" t="s">
        <v>13</v>
      </c>
      <c r="F6" s="10" t="s">
        <v>10</v>
      </c>
    </row>
    <row r="7" customFormat="false" ht="48" hidden="false" customHeight="true" outlineLevel="0" collapsed="false">
      <c r="A7" s="7" t="s">
        <v>14</v>
      </c>
      <c r="B7" s="8"/>
      <c r="C7" s="9"/>
      <c r="D7" s="9" t="s">
        <v>15</v>
      </c>
      <c r="E7" s="9" t="s">
        <v>16</v>
      </c>
      <c r="F7" s="10" t="s">
        <v>10</v>
      </c>
    </row>
    <row r="8" customFormat="false" ht="48" hidden="false" customHeight="true" outlineLevel="0" collapsed="false">
      <c r="A8" s="7" t="s">
        <v>17</v>
      </c>
      <c r="B8" s="8"/>
      <c r="C8" s="9"/>
      <c r="D8" s="9" t="s">
        <v>18</v>
      </c>
      <c r="E8" s="9" t="s">
        <v>19</v>
      </c>
      <c r="F8" s="10" t="s">
        <v>10</v>
      </c>
    </row>
    <row r="9" customFormat="false" ht="48" hidden="false" customHeight="true" outlineLevel="0" collapsed="false">
      <c r="A9" s="7" t="s">
        <v>20</v>
      </c>
      <c r="B9" s="8"/>
      <c r="C9" s="9"/>
      <c r="D9" s="9" t="s">
        <v>21</v>
      </c>
      <c r="E9" s="9" t="s">
        <v>22</v>
      </c>
      <c r="F9" s="10" t="s">
        <v>10</v>
      </c>
    </row>
    <row r="10" customFormat="false" ht="48" hidden="false" customHeight="true" outlineLevel="0" collapsed="false">
      <c r="A10" s="7" t="s">
        <v>23</v>
      </c>
      <c r="B10" s="8"/>
      <c r="C10" s="9"/>
      <c r="D10" s="9" t="s">
        <v>24</v>
      </c>
      <c r="E10" s="9" t="s">
        <v>25</v>
      </c>
      <c r="F10" s="10" t="s">
        <v>10</v>
      </c>
    </row>
    <row r="11" customFormat="false" ht="48" hidden="false" customHeight="true" outlineLevel="0" collapsed="false">
      <c r="A11" s="7" t="s">
        <v>26</v>
      </c>
      <c r="B11" s="8"/>
      <c r="C11" s="9"/>
      <c r="D11" s="9" t="s">
        <v>27</v>
      </c>
      <c r="E11" s="9" t="s">
        <v>28</v>
      </c>
      <c r="F11" s="10" t="s">
        <v>10</v>
      </c>
    </row>
    <row r="12" customFormat="false" ht="48" hidden="false" customHeight="true" outlineLevel="0" collapsed="false">
      <c r="A12" s="7" t="s">
        <v>29</v>
      </c>
      <c r="B12" s="8"/>
      <c r="C12" s="9"/>
      <c r="D12" s="9" t="s">
        <v>30</v>
      </c>
      <c r="E12" s="9" t="s">
        <v>31</v>
      </c>
      <c r="F12" s="10" t="s">
        <v>10</v>
      </c>
    </row>
    <row r="13" customFormat="false" ht="48" hidden="false" customHeight="true" outlineLevel="0" collapsed="false">
      <c r="A13" s="7" t="s">
        <v>32</v>
      </c>
      <c r="B13" s="8"/>
      <c r="C13" s="9"/>
      <c r="D13" s="9" t="s">
        <v>33</v>
      </c>
      <c r="E13" s="9" t="s">
        <v>34</v>
      </c>
      <c r="F13" s="10" t="s">
        <v>10</v>
      </c>
    </row>
    <row r="15" customFormat="false" ht="15" hidden="false" customHeight="true" outlineLevel="0" collapsed="false">
      <c r="A15" s="3" t="s">
        <v>35</v>
      </c>
    </row>
    <row r="17" customFormat="false" ht="15" hidden="false" customHeight="true" outlineLevel="0" collapsed="false"/>
    <row r="18" customFormat="false" ht="15" hidden="false" customHeight="true" outlineLevel="0" collapsed="false"/>
    <row r="19" customFormat="false" ht="67.5" hidden="false" customHeight="true" outlineLevel="0" collapsed="false"/>
    <row r="20" customFormat="false" ht="15" hidden="false" customHeight="true" outlineLevel="0" collapsed="false"/>
    <row r="21" customFormat="false" ht="120" hidden="false" customHeight="true" outlineLevel="0" collapsed="false"/>
    <row r="22" customFormat="false" ht="30" hidden="false" customHeight="true" outlineLevel="0" collapsed="false"/>
    <row r="23" customFormat="false" ht="15" hidden="false" customHeight="true" outlineLevel="0" collapsed="false"/>
    <row r="24" customFormat="false" ht="60" hidden="false" customHeight="true" outlineLevel="0" collapsed="false"/>
    <row r="25" customFormat="false" ht="15" hidden="false" customHeight="true" outlineLevel="0" collapsed="false"/>
    <row r="26" customFormat="false" ht="60" hidden="false" customHeight="true" outlineLevel="0" collapsed="false"/>
    <row r="27" customFormat="false" ht="75" hidden="false" customHeight="true" outlineLevel="0" collapsed="false"/>
    <row r="28" customFormat="false" ht="45" hidden="false" customHeight="true" outlineLevel="0" collapsed="false"/>
    <row r="29" customFormat="false" ht="30" hidden="false" customHeight="true" outlineLevel="0" collapsed="false"/>
    <row r="30" customFormat="false" ht="30" hidden="false" customHeight="true" outlineLevel="0" collapsed="false"/>
    <row r="31" customFormat="false" ht="15" hidden="false" customHeight="true" outlineLevel="0" collapsed="false"/>
    <row r="32" customFormat="false" ht="105" hidden="false" customHeight="true" outlineLevel="0" collapsed="false"/>
    <row r="33" customFormat="false" ht="75" hidden="false" customHeight="true" outlineLevel="0" collapsed="false"/>
    <row r="34" customFormat="false" ht="75" hidden="false" customHeight="true" outlineLevel="0" collapsed="false"/>
    <row r="35" customFormat="false" ht="75" hidden="false" customHeight="true" outlineLevel="0" collapsed="false"/>
    <row r="36" customFormat="false" ht="75" hidden="false" customHeight="true" outlineLevel="0" collapsed="false"/>
    <row r="37" customFormat="false" ht="60" hidden="false" customHeight="true" outlineLevel="0" collapsed="false"/>
    <row r="38" customFormat="false" ht="45" hidden="false" customHeight="true" outlineLevel="0" collapsed="false"/>
    <row r="39" customFormat="false" ht="15" hidden="false" customHeight="true" outlineLevel="0" collapsed="false"/>
    <row r="40" customFormat="false" ht="45" hidden="false" customHeight="true" outlineLevel="0" collapsed="false"/>
    <row r="41" customFormat="false" ht="30" hidden="false" customHeight="true" outlineLevel="0" collapsed="false"/>
    <row r="42" customFormat="false" ht="60" hidden="false" customHeight="true" outlineLevel="0" collapsed="false"/>
    <row r="43" customFormat="false" ht="15" hidden="false" customHeight="true" outlineLevel="0" collapsed="false"/>
    <row r="44" customFormat="false" ht="135" hidden="false" customHeight="true" outlineLevel="0" collapsed="false"/>
    <row r="45" customFormat="false" ht="30" hidden="false" customHeight="true" outlineLevel="0" collapsed="false"/>
    <row r="46" customFormat="false" ht="30" hidden="false" customHeight="true" outlineLevel="0" collapsed="false"/>
    <row r="47" customFormat="false" ht="30" hidden="false" customHeight="true" outlineLevel="0" collapsed="false"/>
    <row r="48" customFormat="false" ht="30" hidden="false" customHeight="true" outlineLevel="0" collapsed="false"/>
    <row r="49" customFormat="false" ht="120" hidden="false" customHeight="true" outlineLevel="0" collapsed="false"/>
    <row r="50" customFormat="false" ht="30" hidden="false" customHeight="true" outlineLevel="0" collapsed="false"/>
    <row r="51" customFormat="false" ht="30" hidden="false" customHeight="true" outlineLevel="0" collapsed="false"/>
    <row r="52" customFormat="false" ht="30" hidden="false" customHeight="true" outlineLevel="0" collapsed="false"/>
    <row r="64" customFormat="false" ht="15" hidden="false" customHeight="true" outlineLevel="0" collapsed="false"/>
  </sheetData>
  <hyperlinks>
    <hyperlink ref="F7" r:id="rId1" display="Décret n° 2022-608 du 21 avril 2022 ; règlement (UE) 2021/1060 (RPDC)"/>
    <hyperlink ref="F9" r:id="rId2" display="Décret n° 2022-608 du 21 avril 2022 ; règlement (UE) 2021/1060 (RPDC)"/>
    <hyperlink ref="F10" r:id="rId3" display="Décret n° 2022-608 du 21 avril 2022 ; règlement (UE) 2021/1060 (RPDC)"/>
    <hyperlink ref="F12" r:id="rId4" display="Décret n° 2022-608 du 21 avril 2022 ; règlement (UE) 2021/1060 (RPDC)"/>
    <hyperlink ref="F13" r:id="rId5" display="Décret n° 2022-608 du 21 avril 2022 ; règlement (UE) 2021/1060 (RPD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3"/>
  <sheetViews>
    <sheetView showFormulas="false" showGridLines="false" showRowColHeaders="true" showZeros="true" rightToLeft="false" tabSelected="false" showOutlineSymbols="true" defaultGridColor="true" view="normal" topLeftCell="A1" colorId="64" zoomScale="68" zoomScaleNormal="68" zoomScalePageLayoutView="100" workbookViewId="0">
      <pane xSplit="1" ySplit="4" topLeftCell="B33" activePane="bottomRight" state="frozen"/>
      <selection pane="topLeft" activeCell="A1" activeCellId="0" sqref="A1"/>
      <selection pane="topRight" activeCell="B1" activeCellId="0" sqref="B1"/>
      <selection pane="bottomLeft" activeCell="A33" activeCellId="0" sqref="A33"/>
      <selection pane="bottomRight" activeCell="F117" activeCellId="0" sqref="F117"/>
    </sheetView>
  </sheetViews>
  <sheetFormatPr defaultColWidth="8.6328125" defaultRowHeight="14.25" zeroHeight="false" outlineLevelRow="0" outlineLevelCol="0"/>
  <cols>
    <col collapsed="false" customWidth="true" hidden="false" outlineLevel="0" max="1" min="1" style="1" width="62"/>
    <col collapsed="false" customWidth="true" hidden="false" outlineLevel="0" max="5" min="2" style="1" width="13"/>
    <col collapsed="false" customWidth="true" hidden="false" outlineLevel="0" max="6" min="6" style="1" width="64"/>
    <col collapsed="false" customWidth="true" hidden="false" outlineLevel="0" max="7" min="7" style="1" width="16"/>
    <col collapsed="false" customWidth="true" hidden="false" outlineLevel="0" max="9" min="8" style="1" width="58"/>
    <col collapsed="false" customWidth="true" hidden="false" outlineLevel="0" max="10" min="10" style="1" width="42"/>
  </cols>
  <sheetData>
    <row r="1" customFormat="false" ht="18" hidden="false" customHeight="true" outlineLevel="0" collapsed="false">
      <c r="A1" s="11" t="s">
        <v>36</v>
      </c>
    </row>
    <row r="2" customFormat="false" ht="14.25" hidden="false" customHeight="true" outlineLevel="0" collapsed="false">
      <c r="A2" s="12" t="s">
        <v>37</v>
      </c>
    </row>
    <row r="4" customFormat="false" ht="14.25" hidden="false" customHeight="true" outlineLevel="0" collapsed="false">
      <c r="A4" s="13" t="s">
        <v>38</v>
      </c>
    </row>
    <row r="5" customFormat="false" ht="14.25" hidden="false" customHeight="true" outlineLevel="0" collapsed="false">
      <c r="A5" s="14" t="s">
        <v>39</v>
      </c>
      <c r="B5" s="15" t="s">
        <v>40</v>
      </c>
    </row>
    <row r="6" customFormat="false" ht="14.25" hidden="false" customHeight="true" outlineLevel="0" collapsed="false">
      <c r="A6" s="16" t="s">
        <v>41</v>
      </c>
      <c r="B6" s="15" t="s">
        <v>42</v>
      </c>
    </row>
    <row r="7" customFormat="false" ht="14.25" hidden="false" customHeight="true" outlineLevel="0" collapsed="false">
      <c r="A7" s="17" t="s">
        <v>43</v>
      </c>
      <c r="B7" s="15" t="s">
        <v>44</v>
      </c>
    </row>
    <row r="8" customFormat="false" ht="14.25" hidden="false" customHeight="true" outlineLevel="0" collapsed="false">
      <c r="A8" s="16" t="s">
        <v>45</v>
      </c>
      <c r="B8" s="15" t="s">
        <v>46</v>
      </c>
    </row>
    <row r="10" customFormat="false" ht="14.25" hidden="false" customHeight="true" outlineLevel="0" collapsed="false">
      <c r="A10" s="13" t="s">
        <v>47</v>
      </c>
    </row>
    <row r="11" customFormat="false" ht="14.25" hidden="false" customHeight="true" outlineLevel="0" collapsed="false">
      <c r="A11" s="18" t="s">
        <v>48</v>
      </c>
      <c r="B11" s="19" t="s">
        <v>49</v>
      </c>
      <c r="C11" s="19" t="s">
        <v>50</v>
      </c>
      <c r="D11" s="19" t="s">
        <v>51</v>
      </c>
      <c r="E11" s="19" t="s">
        <v>52</v>
      </c>
      <c r="F11" s="18" t="s">
        <v>53</v>
      </c>
    </row>
    <row r="12" customFormat="false" ht="14.25" hidden="false" customHeight="true" outlineLevel="0" collapsed="false">
      <c r="A12" s="16" t="s">
        <v>54</v>
      </c>
      <c r="B12" s="20" t="n">
        <v>1</v>
      </c>
      <c r="C12" s="20" t="n">
        <v>1</v>
      </c>
      <c r="D12" s="20" t="n">
        <v>1</v>
      </c>
      <c r="E12" s="20" t="n">
        <v>1</v>
      </c>
      <c r="F12" s="15" t="s">
        <v>55</v>
      </c>
    </row>
    <row r="13" customFormat="false" ht="14.25" hidden="false" customHeight="true" outlineLevel="0" collapsed="false">
      <c r="A13" s="16" t="s">
        <v>56</v>
      </c>
      <c r="B13" s="21" t="n">
        <v>0</v>
      </c>
      <c r="C13" s="21" t="n">
        <v>6</v>
      </c>
      <c r="D13" s="21" t="n">
        <v>12</v>
      </c>
      <c r="E13" s="21" t="n">
        <v>12</v>
      </c>
      <c r="F13" s="15"/>
    </row>
    <row r="15" customFormat="false" ht="14.25" hidden="false" customHeight="true" outlineLevel="0" collapsed="false">
      <c r="A15" s="13" t="s">
        <v>57</v>
      </c>
    </row>
    <row r="16" customFormat="false" ht="14.25" hidden="false" customHeight="true" outlineLevel="0" collapsed="false">
      <c r="A16" s="18" t="s">
        <v>58</v>
      </c>
      <c r="B16" s="19" t="s">
        <v>59</v>
      </c>
      <c r="F16" s="18" t="s">
        <v>53</v>
      </c>
      <c r="G16" s="6" t="s">
        <v>60</v>
      </c>
      <c r="H16" s="6" t="s">
        <v>61</v>
      </c>
      <c r="I16" s="6" t="s">
        <v>62</v>
      </c>
      <c r="J16" s="6" t="s">
        <v>6</v>
      </c>
    </row>
    <row r="17" customFormat="false" ht="29.25" hidden="false" customHeight="true" outlineLevel="0" collapsed="false">
      <c r="A17" s="22" t="s">
        <v>63</v>
      </c>
      <c r="B17" s="23" t="n">
        <v>55000</v>
      </c>
      <c r="C17" s="24"/>
      <c r="D17" s="24"/>
      <c r="E17" s="24"/>
      <c r="F17" s="25" t="s">
        <v>64</v>
      </c>
      <c r="G17" s="26" t="s">
        <v>65</v>
      </c>
      <c r="H17" s="27" t="s">
        <v>66</v>
      </c>
      <c r="I17" s="27" t="s">
        <v>67</v>
      </c>
      <c r="J17" s="28"/>
    </row>
    <row r="18" customFormat="false" ht="29.25" hidden="false" customHeight="true" outlineLevel="0" collapsed="false">
      <c r="A18" s="22" t="s">
        <v>68</v>
      </c>
      <c r="B18" s="29" t="n">
        <v>70</v>
      </c>
      <c r="C18" s="24"/>
      <c r="D18" s="24"/>
      <c r="E18" s="24"/>
      <c r="F18" s="25" t="s">
        <v>69</v>
      </c>
      <c r="G18" s="26"/>
      <c r="H18" s="26"/>
      <c r="I18" s="26"/>
      <c r="J18" s="26"/>
    </row>
    <row r="19" customFormat="false" ht="29.25" hidden="false" customHeight="true" outlineLevel="0" collapsed="false">
      <c r="A19" s="22" t="s">
        <v>70</v>
      </c>
      <c r="B19" s="29" t="n">
        <v>60</v>
      </c>
      <c r="C19" s="24"/>
      <c r="D19" s="24"/>
      <c r="E19" s="24"/>
      <c r="F19" s="25" t="s">
        <v>71</v>
      </c>
      <c r="G19" s="26"/>
      <c r="H19" s="26"/>
      <c r="I19" s="26"/>
      <c r="J19" s="26"/>
    </row>
    <row r="20" customFormat="false" ht="14.25" hidden="false" customHeight="true" outlineLevel="0" collapsed="false">
      <c r="A20" s="16" t="s">
        <v>72</v>
      </c>
      <c r="B20" s="30" t="n">
        <v>0.02</v>
      </c>
      <c r="F20" s="15" t="s">
        <v>73</v>
      </c>
    </row>
    <row r="21" customFormat="false" ht="14.25" hidden="false" customHeight="true" outlineLevel="0" collapsed="false">
      <c r="A21" s="16" t="s">
        <v>74</v>
      </c>
      <c r="B21" s="30" t="n">
        <v>0.02</v>
      </c>
      <c r="F21" s="15"/>
    </row>
    <row r="22" customFormat="false" ht="14.25" hidden="false" customHeight="true" outlineLevel="0" collapsed="false">
      <c r="A22" s="16" t="s">
        <v>75</v>
      </c>
      <c r="B22" s="30" t="n">
        <v>0</v>
      </c>
      <c r="F22" s="15"/>
    </row>
    <row r="23" customFormat="false" ht="14.25" hidden="false" customHeight="true" outlineLevel="0" collapsed="false">
      <c r="A23" s="16" t="s">
        <v>76</v>
      </c>
      <c r="B23" s="30" t="n">
        <v>0.8</v>
      </c>
      <c r="F23" s="15"/>
    </row>
    <row r="24" customFormat="false" ht="14.25" hidden="false" customHeight="true" outlineLevel="0" collapsed="false">
      <c r="A24" s="16" t="s">
        <v>77</v>
      </c>
      <c r="B24" s="30" t="n">
        <v>0.01</v>
      </c>
      <c r="F24" s="15" t="s">
        <v>78</v>
      </c>
    </row>
    <row r="25" customFormat="false" ht="14.25" hidden="false" customHeight="true" outlineLevel="0" collapsed="false">
      <c r="A25" s="16" t="s">
        <v>79</v>
      </c>
      <c r="B25" s="31" t="n">
        <v>0.6</v>
      </c>
      <c r="F25" s="15" t="s">
        <v>80</v>
      </c>
    </row>
    <row r="26" customFormat="false" ht="14.25" hidden="false" customHeight="true" outlineLevel="0" collapsed="false">
      <c r="A26" s="16" t="s">
        <v>81</v>
      </c>
      <c r="B26" s="31" t="n">
        <v>0.15</v>
      </c>
      <c r="F26" s="15" t="s">
        <v>82</v>
      </c>
    </row>
    <row r="27" customFormat="false" ht="14.25" hidden="false" customHeight="true" outlineLevel="0" collapsed="false">
      <c r="A27" s="16" t="s">
        <v>83</v>
      </c>
      <c r="B27" s="31" t="n">
        <v>0.063</v>
      </c>
      <c r="F27" s="15" t="s">
        <v>84</v>
      </c>
    </row>
    <row r="28" customFormat="false" ht="14.25" hidden="false" customHeight="true" outlineLevel="0" collapsed="false">
      <c r="A28" s="13" t="s">
        <v>85</v>
      </c>
    </row>
    <row r="29" customFormat="false" ht="14.25" hidden="false" customHeight="true" outlineLevel="0" collapsed="false">
      <c r="A29" s="18" t="s">
        <v>86</v>
      </c>
      <c r="B29" s="19" t="s">
        <v>87</v>
      </c>
      <c r="F29" s="18" t="s">
        <v>53</v>
      </c>
    </row>
    <row r="30" customFormat="false" ht="14.25" hidden="false" customHeight="true" outlineLevel="0" collapsed="false">
      <c r="A30" s="16" t="s">
        <v>88</v>
      </c>
      <c r="B30" s="30" t="n">
        <v>1</v>
      </c>
      <c r="F30" s="32" t="s">
        <v>89</v>
      </c>
    </row>
    <row r="31" customFormat="false" ht="14.25" hidden="false" customHeight="true" outlineLevel="0" collapsed="false">
      <c r="A31" s="16" t="s">
        <v>90</v>
      </c>
      <c r="B31" s="30" t="n">
        <v>0</v>
      </c>
      <c r="F31" s="15"/>
    </row>
    <row r="32" customFormat="false" ht="14.25" hidden="false" customHeight="true" outlineLevel="0" collapsed="false">
      <c r="A32" s="16" t="s">
        <v>91</v>
      </c>
      <c r="B32" s="30" t="n">
        <v>0</v>
      </c>
      <c r="F32" s="15"/>
    </row>
    <row r="33" customFormat="false" ht="14.25" hidden="false" customHeight="true" outlineLevel="0" collapsed="false">
      <c r="A33" s="33" t="s">
        <v>92</v>
      </c>
      <c r="B33" s="34" t="n">
        <f aca="false">SUM(B30:B32)</f>
        <v>1</v>
      </c>
    </row>
    <row r="35" customFormat="false" ht="14.25" hidden="false" customHeight="true" outlineLevel="0" collapsed="false">
      <c r="A35" s="13" t="s">
        <v>93</v>
      </c>
    </row>
    <row r="36" customFormat="false" ht="14.25" hidden="false" customHeight="true" outlineLevel="0" collapsed="false">
      <c r="A36" s="35" t="s">
        <v>94</v>
      </c>
    </row>
    <row r="37" customFormat="false" ht="14.25" hidden="false" customHeight="true" outlineLevel="0" collapsed="false">
      <c r="A37" s="18" t="s">
        <v>95</v>
      </c>
      <c r="B37" s="19" t="s">
        <v>49</v>
      </c>
      <c r="C37" s="19" t="s">
        <v>50</v>
      </c>
      <c r="D37" s="19" t="s">
        <v>51</v>
      </c>
      <c r="E37" s="19" t="s">
        <v>52</v>
      </c>
      <c r="F37" s="18" t="s">
        <v>96</v>
      </c>
      <c r="G37" s="6" t="s">
        <v>60</v>
      </c>
      <c r="H37" s="6" t="s">
        <v>61</v>
      </c>
      <c r="I37" s="6" t="s">
        <v>62</v>
      </c>
      <c r="J37" s="6" t="s">
        <v>6</v>
      </c>
    </row>
    <row r="38" customFormat="false" ht="14.25" hidden="false" customHeight="true" outlineLevel="0" collapsed="false">
      <c r="A38" s="36" t="s">
        <v>97</v>
      </c>
      <c r="B38" s="5"/>
      <c r="C38" s="5"/>
      <c r="D38" s="5"/>
      <c r="E38" s="5"/>
      <c r="F38" s="5"/>
      <c r="G38" s="5"/>
      <c r="H38" s="5"/>
      <c r="I38" s="5"/>
      <c r="J38" s="5"/>
    </row>
    <row r="39" customFormat="false" ht="24.75" hidden="false" customHeight="true" outlineLevel="0" collapsed="false">
      <c r="A39" s="37" t="s">
        <v>98</v>
      </c>
      <c r="B39" s="38" t="n">
        <v>0</v>
      </c>
      <c r="C39" s="38" t="n">
        <v>0</v>
      </c>
      <c r="D39" s="38" t="n">
        <v>0</v>
      </c>
      <c r="E39" s="38" t="n">
        <v>0</v>
      </c>
      <c r="F39" s="25" t="s">
        <v>99</v>
      </c>
      <c r="G39" s="26" t="s">
        <v>100</v>
      </c>
      <c r="H39" s="27" t="s">
        <v>101</v>
      </c>
      <c r="I39" s="27" t="s">
        <v>102</v>
      </c>
      <c r="J39" s="39" t="s">
        <v>103</v>
      </c>
    </row>
    <row r="40" customFormat="false" ht="24.75" hidden="false" customHeight="true" outlineLevel="0" collapsed="false">
      <c r="A40" s="37" t="s">
        <v>104</v>
      </c>
      <c r="B40" s="38" t="n">
        <v>0</v>
      </c>
      <c r="C40" s="38" t="n">
        <v>0</v>
      </c>
      <c r="D40" s="38" t="n">
        <v>0</v>
      </c>
      <c r="E40" s="38" t="n">
        <v>0</v>
      </c>
      <c r="F40" s="25" t="s">
        <v>105</v>
      </c>
      <c r="G40" s="26"/>
      <c r="H40" s="26"/>
      <c r="I40" s="26"/>
      <c r="J40" s="26"/>
    </row>
    <row r="41" customFormat="false" ht="24.75" hidden="false" customHeight="true" outlineLevel="0" collapsed="false">
      <c r="A41" s="37" t="s">
        <v>106</v>
      </c>
      <c r="B41" s="38" t="n">
        <v>0</v>
      </c>
      <c r="C41" s="38" t="n">
        <v>0</v>
      </c>
      <c r="D41" s="38" t="n">
        <v>0</v>
      </c>
      <c r="E41" s="38" t="n">
        <v>0</v>
      </c>
      <c r="F41" s="25" t="s">
        <v>105</v>
      </c>
      <c r="G41" s="26"/>
      <c r="H41" s="26"/>
      <c r="I41" s="26"/>
      <c r="J41" s="26"/>
    </row>
    <row r="42" customFormat="false" ht="24.75" hidden="false" customHeight="true" outlineLevel="0" collapsed="false">
      <c r="A42" s="37" t="s">
        <v>107</v>
      </c>
      <c r="B42" s="38" t="n">
        <v>0</v>
      </c>
      <c r="C42" s="38" t="n">
        <v>15000</v>
      </c>
      <c r="D42" s="38" t="n">
        <v>25000</v>
      </c>
      <c r="E42" s="38" t="n">
        <v>25000</v>
      </c>
      <c r="F42" s="25" t="s">
        <v>105</v>
      </c>
      <c r="G42" s="26"/>
      <c r="H42" s="26"/>
      <c r="I42" s="26"/>
      <c r="J42" s="26"/>
    </row>
    <row r="43" customFormat="false" ht="27.75" hidden="false" customHeight="true" outlineLevel="0" collapsed="false">
      <c r="A43" s="37" t="s">
        <v>108</v>
      </c>
      <c r="B43" s="38" t="n">
        <v>0</v>
      </c>
      <c r="C43" s="38" t="n">
        <v>230</v>
      </c>
      <c r="D43" s="38" t="n">
        <v>0</v>
      </c>
      <c r="E43" s="38" t="n">
        <v>0</v>
      </c>
      <c r="F43" s="25" t="s">
        <v>109</v>
      </c>
      <c r="G43" s="40" t="s">
        <v>110</v>
      </c>
      <c r="H43" s="41" t="s">
        <v>111</v>
      </c>
      <c r="I43" s="41" t="s">
        <v>112</v>
      </c>
      <c r="J43" s="42" t="s">
        <v>113</v>
      </c>
    </row>
    <row r="45" customFormat="false" ht="14.25" hidden="false" customHeight="true" outlineLevel="0" collapsed="false">
      <c r="A45" s="43" t="s">
        <v>114</v>
      </c>
      <c r="B45" s="44"/>
      <c r="C45" s="44"/>
      <c r="D45" s="44"/>
      <c r="E45" s="44"/>
      <c r="F45" s="44"/>
      <c r="G45" s="5"/>
      <c r="H45" s="5"/>
      <c r="I45" s="5"/>
      <c r="J45" s="5"/>
    </row>
    <row r="46" customFormat="false" ht="13.5" hidden="false" customHeight="true" outlineLevel="0" collapsed="false">
      <c r="A46" s="37" t="s">
        <v>115</v>
      </c>
      <c r="B46" s="38" t="n">
        <v>0</v>
      </c>
      <c r="C46" s="38" t="n">
        <v>0</v>
      </c>
      <c r="D46" s="38" t="n">
        <v>0</v>
      </c>
      <c r="E46" s="38" t="n">
        <v>0</v>
      </c>
      <c r="F46" s="25"/>
      <c r="G46" s="26" t="s">
        <v>100</v>
      </c>
      <c r="H46" s="27" t="s">
        <v>116</v>
      </c>
      <c r="I46" s="27" t="s">
        <v>117</v>
      </c>
      <c r="J46" s="39" t="s">
        <v>118</v>
      </c>
    </row>
    <row r="47" customFormat="false" ht="13.5" hidden="false" customHeight="true" outlineLevel="0" collapsed="false">
      <c r="A47" s="37" t="s">
        <v>119</v>
      </c>
      <c r="B47" s="38" t="n">
        <v>0</v>
      </c>
      <c r="C47" s="38" t="n">
        <v>0</v>
      </c>
      <c r="D47" s="38" t="n">
        <v>0</v>
      </c>
      <c r="E47" s="38" t="n">
        <v>0</v>
      </c>
      <c r="F47" s="25"/>
      <c r="G47" s="26"/>
      <c r="H47" s="26"/>
      <c r="I47" s="26"/>
      <c r="J47" s="26"/>
    </row>
    <row r="48" customFormat="false" ht="13.5" hidden="false" customHeight="true" outlineLevel="0" collapsed="false">
      <c r="A48" s="37" t="s">
        <v>120</v>
      </c>
      <c r="B48" s="38" t="n">
        <v>0</v>
      </c>
      <c r="C48" s="38" t="n">
        <v>0</v>
      </c>
      <c r="D48" s="38" t="n">
        <v>0</v>
      </c>
      <c r="E48" s="38" t="n">
        <v>0</v>
      </c>
      <c r="F48" s="25"/>
      <c r="G48" s="26"/>
      <c r="H48" s="26"/>
      <c r="I48" s="26"/>
      <c r="J48" s="26"/>
    </row>
    <row r="50" customFormat="false" ht="14.25" hidden="false" customHeight="true" outlineLevel="0" collapsed="false">
      <c r="A50" s="43" t="s">
        <v>121</v>
      </c>
      <c r="B50" s="44"/>
      <c r="C50" s="44"/>
      <c r="D50" s="44"/>
      <c r="E50" s="44"/>
      <c r="F50" s="44"/>
      <c r="G50" s="5"/>
      <c r="H50" s="5"/>
      <c r="I50" s="5"/>
      <c r="J50" s="5"/>
    </row>
    <row r="51" customFormat="false" ht="27.75" hidden="false" customHeight="true" outlineLevel="0" collapsed="false">
      <c r="A51" s="37" t="s">
        <v>122</v>
      </c>
      <c r="B51" s="38" t="n">
        <v>0</v>
      </c>
      <c r="C51" s="38" t="n">
        <v>0</v>
      </c>
      <c r="D51" s="38" t="n">
        <v>0</v>
      </c>
      <c r="E51" s="38" t="n">
        <v>0</v>
      </c>
      <c r="F51" s="25"/>
      <c r="G51" s="40" t="s">
        <v>100</v>
      </c>
      <c r="H51" s="41" t="s">
        <v>123</v>
      </c>
      <c r="I51" s="41" t="s">
        <v>67</v>
      </c>
      <c r="J51" s="45" t="s">
        <v>67</v>
      </c>
    </row>
    <row r="53" customFormat="false" ht="14.25" hidden="false" customHeight="true" outlineLevel="0" collapsed="false">
      <c r="A53" s="43" t="s">
        <v>124</v>
      </c>
      <c r="B53" s="44"/>
      <c r="C53" s="44"/>
      <c r="D53" s="44"/>
      <c r="E53" s="44"/>
      <c r="F53" s="44"/>
      <c r="G53" s="5"/>
      <c r="H53" s="5"/>
      <c r="I53" s="5"/>
      <c r="J53" s="5"/>
    </row>
    <row r="54" customFormat="false" ht="39.75" hidden="false" customHeight="true" outlineLevel="0" collapsed="false">
      <c r="A54" s="37" t="s">
        <v>125</v>
      </c>
      <c r="B54" s="38" t="n">
        <v>0</v>
      </c>
      <c r="C54" s="38" t="n">
        <v>15</v>
      </c>
      <c r="D54" s="38" t="n">
        <v>15</v>
      </c>
      <c r="E54" s="38" t="n">
        <v>15</v>
      </c>
      <c r="F54" s="25" t="s">
        <v>126</v>
      </c>
      <c r="G54" s="40" t="s">
        <v>100</v>
      </c>
      <c r="H54" s="41" t="s">
        <v>127</v>
      </c>
      <c r="I54" s="41" t="s">
        <v>128</v>
      </c>
      <c r="J54" s="42" t="s">
        <v>129</v>
      </c>
    </row>
    <row r="55" customFormat="false" ht="51.75" hidden="false" customHeight="true" outlineLevel="0" collapsed="false">
      <c r="A55" s="37" t="s">
        <v>130</v>
      </c>
      <c r="B55" s="38" t="n">
        <v>0</v>
      </c>
      <c r="C55" s="38" t="n">
        <v>0</v>
      </c>
      <c r="D55" s="38" t="n">
        <v>0</v>
      </c>
      <c r="E55" s="38" t="n">
        <v>0</v>
      </c>
      <c r="F55" s="25" t="s">
        <v>131</v>
      </c>
      <c r="G55" s="40" t="s">
        <v>100</v>
      </c>
      <c r="H55" s="41" t="s">
        <v>132</v>
      </c>
      <c r="I55" s="41" t="s">
        <v>133</v>
      </c>
      <c r="J55" s="42" t="s">
        <v>134</v>
      </c>
    </row>
    <row r="56" customFormat="false" ht="39.75" hidden="false" customHeight="true" outlineLevel="0" collapsed="false">
      <c r="A56" s="37" t="s">
        <v>135</v>
      </c>
      <c r="B56" s="38" t="n">
        <v>0</v>
      </c>
      <c r="C56" s="38" t="n">
        <v>0</v>
      </c>
      <c r="D56" s="38" t="n">
        <v>0</v>
      </c>
      <c r="E56" s="38" t="n">
        <v>0</v>
      </c>
      <c r="F56" s="25"/>
      <c r="G56" s="40" t="s">
        <v>100</v>
      </c>
      <c r="H56" s="41" t="s">
        <v>136</v>
      </c>
      <c r="I56" s="41" t="s">
        <v>67</v>
      </c>
      <c r="J56" s="45" t="s">
        <v>67</v>
      </c>
    </row>
    <row r="57" customFormat="false" ht="39.75" hidden="false" customHeight="true" outlineLevel="0" collapsed="false">
      <c r="A57" s="37" t="s">
        <v>137</v>
      </c>
      <c r="B57" s="38" t="n">
        <v>0</v>
      </c>
      <c r="C57" s="38" t="n">
        <v>1000</v>
      </c>
      <c r="D57" s="38" t="n">
        <v>800</v>
      </c>
      <c r="E57" s="38" t="n">
        <v>800</v>
      </c>
      <c r="F57" s="25"/>
      <c r="G57" s="40" t="s">
        <v>100</v>
      </c>
      <c r="H57" s="41" t="s">
        <v>138</v>
      </c>
      <c r="I57" s="41" t="s">
        <v>139</v>
      </c>
      <c r="J57" s="42" t="s">
        <v>140</v>
      </c>
    </row>
    <row r="58" customFormat="false" ht="27.75" hidden="false" customHeight="true" outlineLevel="0" collapsed="false">
      <c r="A58" s="37" t="s">
        <v>141</v>
      </c>
      <c r="B58" s="38" t="n">
        <v>0</v>
      </c>
      <c r="C58" s="38" t="n">
        <v>1000</v>
      </c>
      <c r="D58" s="38" t="n">
        <v>1000</v>
      </c>
      <c r="E58" s="38" t="n">
        <v>1000</v>
      </c>
      <c r="F58" s="25"/>
      <c r="G58" s="40" t="s">
        <v>100</v>
      </c>
      <c r="H58" s="41" t="s">
        <v>142</v>
      </c>
      <c r="I58" s="41" t="s">
        <v>143</v>
      </c>
      <c r="J58" s="42" t="s">
        <v>144</v>
      </c>
    </row>
    <row r="59" customFormat="false" ht="27.75" hidden="false" customHeight="true" outlineLevel="0" collapsed="false">
      <c r="A59" s="37" t="s">
        <v>145</v>
      </c>
      <c r="B59" s="38" t="n">
        <v>0</v>
      </c>
      <c r="C59" s="38" t="n">
        <v>100</v>
      </c>
      <c r="D59" s="38" t="n">
        <v>100</v>
      </c>
      <c r="E59" s="38" t="n">
        <v>100</v>
      </c>
      <c r="F59" s="25"/>
      <c r="G59" s="40" t="s">
        <v>110</v>
      </c>
      <c r="H59" s="41" t="s">
        <v>146</v>
      </c>
      <c r="I59" s="41" t="s">
        <v>147</v>
      </c>
      <c r="J59" s="42" t="s">
        <v>148</v>
      </c>
    </row>
    <row r="61" customFormat="false" ht="14.25" hidden="false" customHeight="true" outlineLevel="0" collapsed="false">
      <c r="A61" s="43" t="s">
        <v>149</v>
      </c>
      <c r="B61" s="44"/>
      <c r="C61" s="44"/>
      <c r="D61" s="44"/>
      <c r="E61" s="44"/>
      <c r="F61" s="44"/>
      <c r="G61" s="5"/>
      <c r="H61" s="5"/>
      <c r="I61" s="5"/>
      <c r="J61" s="5"/>
    </row>
    <row r="62" customFormat="false" ht="75.75" hidden="false" customHeight="true" outlineLevel="0" collapsed="false">
      <c r="A62" s="37" t="s">
        <v>150</v>
      </c>
      <c r="B62" s="38" t="n">
        <v>0</v>
      </c>
      <c r="C62" s="38" t="n">
        <v>1590</v>
      </c>
      <c r="D62" s="38" t="n">
        <v>3180</v>
      </c>
      <c r="E62" s="38" t="n">
        <v>3180</v>
      </c>
      <c r="F62" s="25" t="s">
        <v>151</v>
      </c>
      <c r="G62" s="40" t="s">
        <v>152</v>
      </c>
      <c r="H62" s="41" t="s">
        <v>153</v>
      </c>
      <c r="I62" s="41" t="s">
        <v>154</v>
      </c>
      <c r="J62" s="42" t="s">
        <v>155</v>
      </c>
    </row>
    <row r="63" customFormat="false" ht="51.75" hidden="false" customHeight="true" outlineLevel="0" collapsed="false">
      <c r="A63" s="37" t="s">
        <v>156</v>
      </c>
      <c r="B63" s="38" t="n">
        <v>0</v>
      </c>
      <c r="C63" s="38" t="n">
        <v>1200</v>
      </c>
      <c r="D63" s="38" t="n">
        <v>1200</v>
      </c>
      <c r="E63" s="38" t="n">
        <v>1200</v>
      </c>
      <c r="F63" s="25" t="s">
        <v>157</v>
      </c>
      <c r="G63" s="40" t="s">
        <v>152</v>
      </c>
      <c r="H63" s="41" t="s">
        <v>158</v>
      </c>
      <c r="I63" s="41" t="s">
        <v>159</v>
      </c>
      <c r="J63" s="42" t="s">
        <v>160</v>
      </c>
    </row>
    <row r="64" customFormat="false" ht="51.75" hidden="false" customHeight="true" outlineLevel="0" collapsed="false">
      <c r="A64" s="37" t="s">
        <v>161</v>
      </c>
      <c r="B64" s="38" t="n">
        <v>0</v>
      </c>
      <c r="C64" s="38" t="n">
        <v>1500</v>
      </c>
      <c r="D64" s="38" t="n">
        <v>1500</v>
      </c>
      <c r="E64" s="38" t="n">
        <v>1500</v>
      </c>
      <c r="F64" s="25" t="s">
        <v>162</v>
      </c>
      <c r="G64" s="40" t="s">
        <v>152</v>
      </c>
      <c r="H64" s="41" t="s">
        <v>158</v>
      </c>
      <c r="I64" s="41" t="s">
        <v>163</v>
      </c>
      <c r="J64" s="42" t="s">
        <v>164</v>
      </c>
    </row>
    <row r="65" customFormat="false" ht="51.75" hidden="false" customHeight="true" outlineLevel="0" collapsed="false">
      <c r="A65" s="37" t="s">
        <v>165</v>
      </c>
      <c r="B65" s="38" t="n">
        <v>0</v>
      </c>
      <c r="C65" s="38" t="n">
        <v>0</v>
      </c>
      <c r="D65" s="38" t="n">
        <v>0</v>
      </c>
      <c r="E65" s="38" t="n">
        <v>0</v>
      </c>
      <c r="F65" s="25"/>
      <c r="G65" s="40" t="s">
        <v>152</v>
      </c>
      <c r="H65" s="41" t="s">
        <v>158</v>
      </c>
      <c r="I65" s="41" t="s">
        <v>166</v>
      </c>
      <c r="J65" s="42" t="s">
        <v>167</v>
      </c>
    </row>
    <row r="66" customFormat="false" ht="51.75" hidden="false" customHeight="true" outlineLevel="0" collapsed="false">
      <c r="A66" s="37" t="s">
        <v>168</v>
      </c>
      <c r="B66" s="38" t="n">
        <v>0</v>
      </c>
      <c r="C66" s="38" t="n">
        <v>200</v>
      </c>
      <c r="D66" s="38" t="n">
        <v>200</v>
      </c>
      <c r="E66" s="38" t="n">
        <v>200</v>
      </c>
      <c r="F66" s="25" t="s">
        <v>169</v>
      </c>
      <c r="G66" s="40" t="s">
        <v>152</v>
      </c>
      <c r="H66" s="41" t="s">
        <v>158</v>
      </c>
      <c r="I66" s="41" t="s">
        <v>67</v>
      </c>
      <c r="J66" s="45" t="s">
        <v>67</v>
      </c>
    </row>
    <row r="68" customFormat="false" ht="14.25" hidden="false" customHeight="true" outlineLevel="0" collapsed="false">
      <c r="A68" s="43" t="s">
        <v>170</v>
      </c>
      <c r="B68" s="44"/>
      <c r="C68" s="44"/>
      <c r="D68" s="44"/>
      <c r="E68" s="44"/>
      <c r="F68" s="44"/>
      <c r="G68" s="5"/>
      <c r="H68" s="5"/>
      <c r="I68" s="5"/>
      <c r="J68" s="5"/>
    </row>
    <row r="69" customFormat="false" ht="25.5" hidden="false" customHeight="true" outlineLevel="0" collapsed="false">
      <c r="A69" s="37" t="s">
        <v>171</v>
      </c>
      <c r="B69" s="38" t="n">
        <v>0</v>
      </c>
      <c r="C69" s="38" t="n">
        <v>900</v>
      </c>
      <c r="D69" s="38" t="n">
        <v>900</v>
      </c>
      <c r="E69" s="38" t="n">
        <v>900</v>
      </c>
      <c r="F69" s="25" t="s">
        <v>172</v>
      </c>
      <c r="G69" s="26" t="s">
        <v>152</v>
      </c>
      <c r="H69" s="27" t="s">
        <v>158</v>
      </c>
      <c r="I69" s="27" t="s">
        <v>173</v>
      </c>
      <c r="J69" s="39" t="s">
        <v>174</v>
      </c>
    </row>
    <row r="70" customFormat="false" ht="25.5" hidden="false" customHeight="true" outlineLevel="0" collapsed="false">
      <c r="A70" s="37" t="s">
        <v>175</v>
      </c>
      <c r="B70" s="38" t="n">
        <v>0</v>
      </c>
      <c r="C70" s="38" t="n">
        <v>700</v>
      </c>
      <c r="D70" s="38" t="n">
        <v>700</v>
      </c>
      <c r="E70" s="38" t="n">
        <v>700</v>
      </c>
      <c r="F70" s="25" t="s">
        <v>176</v>
      </c>
      <c r="G70" s="26"/>
      <c r="H70" s="26"/>
      <c r="I70" s="26"/>
      <c r="J70" s="26"/>
    </row>
    <row r="71" customFormat="false" ht="51.75" hidden="false" customHeight="true" outlineLevel="0" collapsed="false">
      <c r="A71" s="37" t="s">
        <v>177</v>
      </c>
      <c r="B71" s="38" t="n">
        <v>0</v>
      </c>
      <c r="C71" s="38" t="n">
        <v>0</v>
      </c>
      <c r="D71" s="38" t="n">
        <v>0</v>
      </c>
      <c r="E71" s="38" t="n">
        <v>0</v>
      </c>
      <c r="F71" s="25" t="s">
        <v>178</v>
      </c>
      <c r="G71" s="40" t="s">
        <v>179</v>
      </c>
      <c r="H71" s="41" t="s">
        <v>180</v>
      </c>
      <c r="I71" s="41" t="s">
        <v>67</v>
      </c>
      <c r="J71" s="45"/>
    </row>
    <row r="72" customFormat="false" ht="51.75" hidden="false" customHeight="true" outlineLevel="0" collapsed="false">
      <c r="A72" s="37" t="s">
        <v>181</v>
      </c>
      <c r="B72" s="38" t="n">
        <v>0</v>
      </c>
      <c r="C72" s="38" t="n">
        <v>1500</v>
      </c>
      <c r="D72" s="38" t="n">
        <v>3000</v>
      </c>
      <c r="E72" s="38" t="n">
        <v>3000</v>
      </c>
      <c r="F72" s="25" t="s">
        <v>182</v>
      </c>
      <c r="G72" s="40" t="s">
        <v>100</v>
      </c>
      <c r="H72" s="41" t="s">
        <v>183</v>
      </c>
      <c r="I72" s="41" t="s">
        <v>184</v>
      </c>
      <c r="J72" s="42" t="s">
        <v>185</v>
      </c>
    </row>
    <row r="74" customFormat="false" ht="14.25" hidden="false" customHeight="true" outlineLevel="0" collapsed="false">
      <c r="A74" s="43" t="s">
        <v>186</v>
      </c>
      <c r="B74" s="44"/>
      <c r="C74" s="44"/>
      <c r="D74" s="44"/>
      <c r="E74" s="44"/>
      <c r="F74" s="44"/>
      <c r="G74" s="5"/>
      <c r="H74" s="5"/>
      <c r="I74" s="5"/>
      <c r="J74" s="5"/>
    </row>
    <row r="75" customFormat="false" ht="39.75" hidden="false" customHeight="true" outlineLevel="0" collapsed="false">
      <c r="A75" s="37" t="s">
        <v>187</v>
      </c>
      <c r="B75" s="38" t="n">
        <v>0</v>
      </c>
      <c r="C75" s="38" t="n">
        <v>0</v>
      </c>
      <c r="D75" s="38" t="n">
        <v>0</v>
      </c>
      <c r="E75" s="38" t="n">
        <v>0</v>
      </c>
      <c r="F75" s="25"/>
      <c r="G75" s="40" t="s">
        <v>100</v>
      </c>
      <c r="H75" s="41" t="s">
        <v>188</v>
      </c>
      <c r="I75" s="41" t="s">
        <v>189</v>
      </c>
      <c r="J75" s="42" t="s">
        <v>190</v>
      </c>
    </row>
    <row r="76" customFormat="false" ht="27.75" hidden="false" customHeight="true" outlineLevel="0" collapsed="false">
      <c r="A76" s="37" t="s">
        <v>191</v>
      </c>
      <c r="B76" s="38" t="n">
        <v>0</v>
      </c>
      <c r="C76" s="38" t="n">
        <v>400</v>
      </c>
      <c r="D76" s="38" t="n">
        <v>400</v>
      </c>
      <c r="E76" s="38" t="n">
        <v>400</v>
      </c>
      <c r="F76" s="25" t="s">
        <v>192</v>
      </c>
      <c r="G76" s="40" t="s">
        <v>100</v>
      </c>
      <c r="H76" s="41" t="s">
        <v>193</v>
      </c>
      <c r="I76" s="41" t="s">
        <v>194</v>
      </c>
      <c r="J76" s="42" t="s">
        <v>195</v>
      </c>
    </row>
    <row r="77" customFormat="false" ht="27.75" hidden="false" customHeight="true" outlineLevel="0" collapsed="false">
      <c r="A77" s="37" t="s">
        <v>196</v>
      </c>
      <c r="B77" s="38" t="n">
        <v>0</v>
      </c>
      <c r="C77" s="38" t="n">
        <v>100</v>
      </c>
      <c r="D77" s="38" t="n">
        <v>50</v>
      </c>
      <c r="E77" s="38" t="n">
        <v>50</v>
      </c>
      <c r="F77" s="25" t="s">
        <v>197</v>
      </c>
      <c r="G77" s="40" t="s">
        <v>100</v>
      </c>
      <c r="H77" s="41" t="s">
        <v>198</v>
      </c>
      <c r="I77" s="41" t="s">
        <v>67</v>
      </c>
      <c r="J77" s="45" t="s">
        <v>67</v>
      </c>
    </row>
    <row r="78" customFormat="false" ht="39.75" hidden="false" customHeight="true" outlineLevel="0" collapsed="false">
      <c r="A78" s="37" t="s">
        <v>199</v>
      </c>
      <c r="B78" s="38" t="n">
        <v>0</v>
      </c>
      <c r="C78" s="38" t="n">
        <v>200</v>
      </c>
      <c r="D78" s="38" t="n">
        <v>100</v>
      </c>
      <c r="E78" s="38" t="n">
        <v>100</v>
      </c>
      <c r="F78" s="25" t="s">
        <v>200</v>
      </c>
      <c r="G78" s="40" t="s">
        <v>100</v>
      </c>
      <c r="H78" s="41" t="s">
        <v>201</v>
      </c>
      <c r="I78" s="41" t="s">
        <v>202</v>
      </c>
      <c r="J78" s="45"/>
    </row>
    <row r="80" customFormat="false" ht="14.25" hidden="false" customHeight="true" outlineLevel="0" collapsed="false">
      <c r="A80" s="43" t="s">
        <v>203</v>
      </c>
      <c r="B80" s="44"/>
      <c r="C80" s="44"/>
      <c r="D80" s="44"/>
      <c r="E80" s="44"/>
      <c r="F80" s="44"/>
      <c r="G80" s="5"/>
      <c r="H80" s="5"/>
      <c r="I80" s="5"/>
      <c r="J80" s="5"/>
    </row>
    <row r="81" customFormat="false" ht="27.75" hidden="false" customHeight="true" outlineLevel="0" collapsed="false">
      <c r="A81" s="37" t="s">
        <v>204</v>
      </c>
      <c r="B81" s="38" t="n">
        <v>0</v>
      </c>
      <c r="C81" s="38" t="n">
        <v>500</v>
      </c>
      <c r="D81" s="38" t="n">
        <v>500</v>
      </c>
      <c r="E81" s="38" t="n">
        <v>500</v>
      </c>
      <c r="F81" s="25"/>
      <c r="G81" s="40" t="s">
        <v>100</v>
      </c>
      <c r="H81" s="41" t="s">
        <v>205</v>
      </c>
      <c r="I81" s="41" t="s">
        <v>67</v>
      </c>
      <c r="J81" s="45" t="s">
        <v>67</v>
      </c>
    </row>
    <row r="83" customFormat="false" ht="14.25" hidden="false" customHeight="true" outlineLevel="0" collapsed="false">
      <c r="A83" s="43" t="s">
        <v>206</v>
      </c>
      <c r="B83" s="44"/>
      <c r="C83" s="44"/>
      <c r="D83" s="44"/>
      <c r="E83" s="44"/>
      <c r="F83" s="44"/>
      <c r="G83" s="5"/>
      <c r="H83" s="5"/>
      <c r="I83" s="5"/>
      <c r="J83" s="5"/>
    </row>
    <row r="84" customFormat="false" ht="21.75" hidden="false" customHeight="true" outlineLevel="0" collapsed="false">
      <c r="A84" s="37" t="s">
        <v>207</v>
      </c>
      <c r="B84" s="38" t="n">
        <v>0</v>
      </c>
      <c r="C84" s="38" t="n">
        <v>0</v>
      </c>
      <c r="D84" s="38" t="n">
        <v>0</v>
      </c>
      <c r="E84" s="38" t="n">
        <v>0</v>
      </c>
      <c r="F84" s="25" t="s">
        <v>208</v>
      </c>
      <c r="G84" s="26" t="s">
        <v>179</v>
      </c>
      <c r="H84" s="27" t="s">
        <v>209</v>
      </c>
      <c r="I84" s="27" t="s">
        <v>210</v>
      </c>
      <c r="J84" s="39" t="s">
        <v>211</v>
      </c>
    </row>
    <row r="85" customFormat="false" ht="21.75" hidden="false" customHeight="true" outlineLevel="0" collapsed="false">
      <c r="A85" s="37" t="s">
        <v>212</v>
      </c>
      <c r="B85" s="38" t="n">
        <v>0</v>
      </c>
      <c r="C85" s="38" t="n">
        <v>0</v>
      </c>
      <c r="D85" s="38" t="n">
        <v>0</v>
      </c>
      <c r="E85" s="38" t="n">
        <v>0</v>
      </c>
      <c r="F85" s="25" t="s">
        <v>213</v>
      </c>
      <c r="G85" s="26"/>
      <c r="H85" s="26"/>
      <c r="I85" s="26"/>
      <c r="J85" s="26"/>
    </row>
    <row r="86" customFormat="false" ht="21.75" hidden="false" customHeight="true" outlineLevel="0" collapsed="false">
      <c r="A86" s="37" t="s">
        <v>214</v>
      </c>
      <c r="B86" s="38" t="n">
        <v>0</v>
      </c>
      <c r="C86" s="38" t="n">
        <v>0</v>
      </c>
      <c r="D86" s="38" t="n">
        <v>0</v>
      </c>
      <c r="E86" s="38" t="n">
        <v>0</v>
      </c>
      <c r="F86" s="25" t="s">
        <v>213</v>
      </c>
      <c r="G86" s="26"/>
      <c r="H86" s="26"/>
      <c r="I86" s="26"/>
      <c r="J86" s="26"/>
    </row>
    <row r="87" customFormat="false" ht="21.75" hidden="false" customHeight="true" outlineLevel="0" collapsed="false">
      <c r="A87" s="37" t="s">
        <v>215</v>
      </c>
      <c r="B87" s="38" t="n">
        <v>0</v>
      </c>
      <c r="C87" s="38" t="n">
        <v>0</v>
      </c>
      <c r="D87" s="38" t="n">
        <v>0</v>
      </c>
      <c r="E87" s="38" t="n">
        <v>0</v>
      </c>
      <c r="F87" s="25" t="s">
        <v>213</v>
      </c>
      <c r="G87" s="26"/>
      <c r="H87" s="26"/>
      <c r="I87" s="26"/>
      <c r="J87" s="26"/>
    </row>
    <row r="89" customFormat="false" ht="14.25" hidden="false" customHeight="true" outlineLevel="0" collapsed="false">
      <c r="A89" s="43" t="s">
        <v>216</v>
      </c>
      <c r="B89" s="44"/>
      <c r="C89" s="44"/>
      <c r="D89" s="44"/>
      <c r="E89" s="44"/>
      <c r="F89" s="44"/>
      <c r="G89" s="5"/>
      <c r="H89" s="5"/>
      <c r="I89" s="5"/>
      <c r="J89" s="5"/>
    </row>
    <row r="90" customFormat="false" ht="12.75" hidden="false" customHeight="true" outlineLevel="0" collapsed="false">
      <c r="A90" s="37" t="s">
        <v>217</v>
      </c>
      <c r="B90" s="38" t="n">
        <v>0</v>
      </c>
      <c r="C90" s="38" t="n">
        <v>480</v>
      </c>
      <c r="D90" s="38" t="n">
        <v>490</v>
      </c>
      <c r="E90" s="38" t="n">
        <v>500</v>
      </c>
      <c r="F90" s="25" t="s">
        <v>218</v>
      </c>
      <c r="G90" s="26" t="s">
        <v>110</v>
      </c>
      <c r="H90" s="27" t="s">
        <v>219</v>
      </c>
      <c r="I90" s="27" t="s">
        <v>220</v>
      </c>
      <c r="J90" s="39" t="s">
        <v>221</v>
      </c>
    </row>
    <row r="91" customFormat="false" ht="12.75" hidden="false" customHeight="true" outlineLevel="0" collapsed="false">
      <c r="A91" s="37" t="s">
        <v>222</v>
      </c>
      <c r="B91" s="38" t="n">
        <v>0</v>
      </c>
      <c r="C91" s="38" t="n">
        <v>120</v>
      </c>
      <c r="D91" s="38" t="n">
        <v>122</v>
      </c>
      <c r="E91" s="38" t="n">
        <v>124</v>
      </c>
      <c r="F91" s="25" t="s">
        <v>223</v>
      </c>
      <c r="G91" s="26"/>
      <c r="H91" s="26"/>
      <c r="I91" s="26"/>
      <c r="J91" s="26"/>
    </row>
    <row r="92" customFormat="false" ht="12.75" hidden="false" customHeight="true" outlineLevel="0" collapsed="false">
      <c r="A92" s="37" t="s">
        <v>224</v>
      </c>
      <c r="B92" s="38" t="n">
        <v>0</v>
      </c>
      <c r="C92" s="38" t="n">
        <v>480</v>
      </c>
      <c r="D92" s="38" t="n">
        <v>490</v>
      </c>
      <c r="E92" s="38" t="n">
        <v>500</v>
      </c>
      <c r="F92" s="25" t="s">
        <v>225</v>
      </c>
      <c r="G92" s="26"/>
      <c r="H92" s="26"/>
      <c r="I92" s="26"/>
      <c r="J92" s="26"/>
    </row>
    <row r="93" customFormat="false" ht="12.75" hidden="false" customHeight="true" outlineLevel="0" collapsed="false">
      <c r="A93" s="37" t="s">
        <v>226</v>
      </c>
      <c r="B93" s="38" t="n">
        <v>0</v>
      </c>
      <c r="C93" s="38" t="n">
        <v>120</v>
      </c>
      <c r="D93" s="38" t="n">
        <v>122</v>
      </c>
      <c r="E93" s="38" t="n">
        <v>124</v>
      </c>
      <c r="F93" s="25" t="s">
        <v>227</v>
      </c>
      <c r="G93" s="26"/>
      <c r="H93" s="26"/>
      <c r="I93" s="26"/>
      <c r="J93" s="26"/>
    </row>
    <row r="95" customFormat="false" ht="14.25" hidden="false" customHeight="true" outlineLevel="0" collapsed="false">
      <c r="A95" s="43" t="s">
        <v>228</v>
      </c>
      <c r="B95" s="44"/>
      <c r="C95" s="44"/>
      <c r="D95" s="44"/>
      <c r="E95" s="44"/>
      <c r="F95" s="44"/>
      <c r="G95" s="5"/>
      <c r="H95" s="5"/>
      <c r="I95" s="5"/>
      <c r="J95" s="5"/>
    </row>
    <row r="96" customFormat="false" ht="12.75" hidden="false" customHeight="true" outlineLevel="0" collapsed="false">
      <c r="A96" s="37" t="s">
        <v>229</v>
      </c>
      <c r="B96" s="38" t="n">
        <v>0</v>
      </c>
      <c r="C96" s="38" t="n">
        <v>300</v>
      </c>
      <c r="D96" s="38" t="n">
        <v>306</v>
      </c>
      <c r="E96" s="38" t="n">
        <v>312</v>
      </c>
      <c r="F96" s="25" t="s">
        <v>230</v>
      </c>
      <c r="G96" s="26" t="s">
        <v>110</v>
      </c>
      <c r="H96" s="27" t="s">
        <v>219</v>
      </c>
      <c r="I96" s="27" t="s">
        <v>231</v>
      </c>
      <c r="J96" s="39" t="s">
        <v>232</v>
      </c>
    </row>
    <row r="97" customFormat="false" ht="12.75" hidden="false" customHeight="true" outlineLevel="0" collapsed="false">
      <c r="A97" s="37" t="s">
        <v>233</v>
      </c>
      <c r="B97" s="38" t="n">
        <v>0</v>
      </c>
      <c r="C97" s="38" t="n">
        <v>200</v>
      </c>
      <c r="D97" s="38" t="n">
        <v>204</v>
      </c>
      <c r="E97" s="38" t="n">
        <v>208</v>
      </c>
      <c r="F97" s="25" t="s">
        <v>234</v>
      </c>
      <c r="G97" s="26"/>
      <c r="H97" s="26"/>
      <c r="I97" s="26"/>
      <c r="J97" s="26"/>
    </row>
    <row r="98" customFormat="false" ht="12.75" hidden="false" customHeight="true" outlineLevel="0" collapsed="false">
      <c r="A98" s="37" t="s">
        <v>235</v>
      </c>
      <c r="B98" s="38" t="n">
        <v>0</v>
      </c>
      <c r="C98" s="38" t="n">
        <v>150</v>
      </c>
      <c r="D98" s="38" t="n">
        <v>153</v>
      </c>
      <c r="E98" s="38" t="n">
        <v>156</v>
      </c>
      <c r="F98" s="25" t="s">
        <v>236</v>
      </c>
      <c r="G98" s="26"/>
      <c r="H98" s="26"/>
      <c r="I98" s="26"/>
      <c r="J98" s="26"/>
    </row>
    <row r="99" customFormat="false" ht="12.75" hidden="false" customHeight="true" outlineLevel="0" collapsed="false">
      <c r="A99" s="37" t="s">
        <v>237</v>
      </c>
      <c r="B99" s="38" t="n">
        <v>0</v>
      </c>
      <c r="C99" s="38" t="n">
        <v>50</v>
      </c>
      <c r="D99" s="38" t="n">
        <v>51</v>
      </c>
      <c r="E99" s="38" t="n">
        <v>52</v>
      </c>
      <c r="F99" s="25" t="s">
        <v>238</v>
      </c>
      <c r="G99" s="26"/>
      <c r="H99" s="26"/>
      <c r="I99" s="26"/>
      <c r="J99" s="26"/>
    </row>
    <row r="101" customFormat="false" ht="14.25" hidden="false" customHeight="true" outlineLevel="0" collapsed="false">
      <c r="A101" s="43" t="s">
        <v>239</v>
      </c>
      <c r="B101" s="44"/>
      <c r="C101" s="44"/>
      <c r="D101" s="44"/>
      <c r="E101" s="44"/>
      <c r="F101" s="44"/>
      <c r="G101" s="5"/>
      <c r="H101" s="5"/>
      <c r="I101" s="5"/>
      <c r="J101" s="5"/>
    </row>
    <row r="102" customFormat="false" ht="13.5" hidden="false" customHeight="true" outlineLevel="0" collapsed="false">
      <c r="A102" s="37" t="s">
        <v>240</v>
      </c>
      <c r="B102" s="38" t="n">
        <v>0</v>
      </c>
      <c r="C102" s="38" t="n">
        <v>420</v>
      </c>
      <c r="D102" s="38" t="n">
        <v>428</v>
      </c>
      <c r="E102" s="38" t="n">
        <v>437</v>
      </c>
      <c r="F102" s="25" t="s">
        <v>241</v>
      </c>
      <c r="G102" s="26" t="s">
        <v>110</v>
      </c>
      <c r="H102" s="27" t="s">
        <v>219</v>
      </c>
      <c r="I102" s="27" t="s">
        <v>242</v>
      </c>
      <c r="J102" s="39" t="s">
        <v>243</v>
      </c>
    </row>
    <row r="103" customFormat="false" ht="13.5" hidden="false" customHeight="true" outlineLevel="0" collapsed="false">
      <c r="A103" s="37" t="s">
        <v>244</v>
      </c>
      <c r="B103" s="38" t="n">
        <v>0</v>
      </c>
      <c r="C103" s="38" t="n">
        <v>240</v>
      </c>
      <c r="D103" s="38" t="n">
        <v>245</v>
      </c>
      <c r="E103" s="38" t="n">
        <v>250</v>
      </c>
      <c r="F103" s="25" t="s">
        <v>245</v>
      </c>
      <c r="G103" s="26"/>
      <c r="H103" s="26"/>
      <c r="I103" s="26"/>
      <c r="J103" s="26"/>
    </row>
    <row r="104" customFormat="false" ht="12.75" hidden="false" customHeight="true" outlineLevel="0" collapsed="false">
      <c r="A104" s="37" t="s">
        <v>246</v>
      </c>
      <c r="B104" s="38" t="n">
        <v>0</v>
      </c>
      <c r="C104" s="38" t="n">
        <v>300</v>
      </c>
      <c r="D104" s="38" t="n">
        <v>306</v>
      </c>
      <c r="E104" s="38" t="n">
        <v>312</v>
      </c>
      <c r="F104" s="25" t="s">
        <v>247</v>
      </c>
      <c r="G104" s="26" t="s">
        <v>110</v>
      </c>
      <c r="H104" s="27" t="s">
        <v>219</v>
      </c>
      <c r="I104" s="27" t="s">
        <v>248</v>
      </c>
      <c r="J104" s="39" t="s">
        <v>249</v>
      </c>
    </row>
    <row r="105" customFormat="false" ht="12.75" hidden="false" customHeight="true" outlineLevel="0" collapsed="false">
      <c r="A105" s="37" t="s">
        <v>250</v>
      </c>
      <c r="B105" s="38" t="n">
        <v>0</v>
      </c>
      <c r="C105" s="38" t="n">
        <v>120</v>
      </c>
      <c r="D105" s="38" t="n">
        <v>122</v>
      </c>
      <c r="E105" s="38" t="n">
        <v>124</v>
      </c>
      <c r="F105" s="25" t="s">
        <v>251</v>
      </c>
      <c r="G105" s="26"/>
      <c r="H105" s="26"/>
      <c r="I105" s="26"/>
      <c r="J105" s="26"/>
    </row>
    <row r="106" customFormat="false" ht="12.75" hidden="false" customHeight="true" outlineLevel="0" collapsed="false">
      <c r="A106" s="37" t="s">
        <v>252</v>
      </c>
      <c r="B106" s="38" t="n">
        <v>0</v>
      </c>
      <c r="C106" s="38" t="n">
        <v>150</v>
      </c>
      <c r="D106" s="38" t="n">
        <v>153</v>
      </c>
      <c r="E106" s="38" t="n">
        <v>156</v>
      </c>
      <c r="F106" s="25" t="s">
        <v>253</v>
      </c>
      <c r="G106" s="26"/>
      <c r="H106" s="26"/>
      <c r="I106" s="26"/>
      <c r="J106" s="26"/>
    </row>
    <row r="107" customFormat="false" ht="12.75" hidden="false" customHeight="true" outlineLevel="0" collapsed="false">
      <c r="A107" s="37" t="s">
        <v>254</v>
      </c>
      <c r="B107" s="38" t="n">
        <v>0</v>
      </c>
      <c r="C107" s="38" t="n">
        <v>180</v>
      </c>
      <c r="D107" s="38" t="n">
        <v>184</v>
      </c>
      <c r="E107" s="38" t="n">
        <v>187</v>
      </c>
      <c r="F107" s="25" t="s">
        <v>253</v>
      </c>
      <c r="G107" s="26"/>
      <c r="H107" s="26"/>
      <c r="I107" s="26"/>
      <c r="J107" s="26"/>
    </row>
    <row r="108" customFormat="false" ht="12.75" hidden="false" customHeight="true" outlineLevel="0" collapsed="false">
      <c r="A108" s="37" t="s">
        <v>255</v>
      </c>
      <c r="B108" s="38" t="n">
        <v>0</v>
      </c>
      <c r="C108" s="38" t="n">
        <v>648</v>
      </c>
      <c r="D108" s="38" t="n">
        <v>1322</v>
      </c>
      <c r="E108" s="38" t="n">
        <v>1348</v>
      </c>
      <c r="F108" s="25" t="s">
        <v>256</v>
      </c>
      <c r="G108" s="26"/>
      <c r="H108" s="26"/>
      <c r="I108" s="26"/>
      <c r="J108" s="26"/>
    </row>
    <row r="109" customFormat="false" ht="12.75" hidden="false" customHeight="true" outlineLevel="0" collapsed="false">
      <c r="A109" s="37" t="s">
        <v>257</v>
      </c>
      <c r="B109" s="38" t="n">
        <v>0</v>
      </c>
      <c r="C109" s="38" t="n">
        <v>90</v>
      </c>
      <c r="D109" s="38" t="n">
        <v>92</v>
      </c>
      <c r="E109" s="38" t="n">
        <v>95</v>
      </c>
      <c r="F109" s="25" t="s">
        <v>258</v>
      </c>
      <c r="G109" s="26"/>
      <c r="H109" s="26"/>
      <c r="I109" s="26"/>
      <c r="J109" s="26"/>
    </row>
    <row r="111" customFormat="false" ht="14.25" hidden="false" customHeight="true" outlineLevel="0" collapsed="false">
      <c r="A111" s="43" t="s">
        <v>259</v>
      </c>
      <c r="B111" s="44"/>
      <c r="C111" s="44"/>
      <c r="D111" s="44"/>
      <c r="E111" s="44"/>
      <c r="F111" s="44"/>
      <c r="G111" s="5"/>
      <c r="H111" s="5"/>
      <c r="I111" s="5"/>
      <c r="J111" s="5"/>
    </row>
    <row r="112" customFormat="false" ht="39.75" hidden="false" customHeight="true" outlineLevel="0" collapsed="false">
      <c r="A112" s="37" t="s">
        <v>260</v>
      </c>
      <c r="B112" s="38" t="n">
        <v>0</v>
      </c>
      <c r="C112" s="38" t="n">
        <v>0</v>
      </c>
      <c r="D112" s="38" t="n">
        <v>0</v>
      </c>
      <c r="E112" s="38" t="n">
        <v>0</v>
      </c>
      <c r="F112" s="25"/>
      <c r="G112" s="40" t="s">
        <v>67</v>
      </c>
      <c r="H112" s="41" t="s">
        <v>261</v>
      </c>
      <c r="I112" s="41" t="s">
        <v>67</v>
      </c>
      <c r="J112" s="45" t="s">
        <v>67</v>
      </c>
    </row>
    <row r="113" customFormat="false" ht="87.75" hidden="false" customHeight="true" outlineLevel="0" collapsed="false">
      <c r="A113" s="37" t="s">
        <v>262</v>
      </c>
      <c r="B113" s="38" t="n">
        <v>0</v>
      </c>
      <c r="C113" s="38" t="n">
        <v>0</v>
      </c>
      <c r="D113" s="38" t="n">
        <v>0</v>
      </c>
      <c r="E113" s="38" t="n">
        <v>0</v>
      </c>
      <c r="F113" s="25" t="s">
        <v>263</v>
      </c>
      <c r="G113" s="40" t="s">
        <v>179</v>
      </c>
      <c r="H113" s="41" t="s">
        <v>264</v>
      </c>
      <c r="I113" s="41" t="s">
        <v>265</v>
      </c>
      <c r="J113" s="42" t="s">
        <v>266</v>
      </c>
    </row>
    <row r="114" customFormat="false" ht="12.75" hidden="false" customHeight="true" outlineLevel="0" collapsed="false">
      <c r="A114" s="37" t="s">
        <v>267</v>
      </c>
      <c r="B114" s="38" t="n">
        <v>0</v>
      </c>
      <c r="C114" s="38" t="n">
        <v>1200</v>
      </c>
      <c r="D114" s="38" t="n">
        <v>1200</v>
      </c>
      <c r="E114" s="38" t="n">
        <v>1200</v>
      </c>
      <c r="F114" s="25" t="s">
        <v>268</v>
      </c>
      <c r="G114" s="26" t="s">
        <v>110</v>
      </c>
      <c r="H114" s="27" t="s">
        <v>269</v>
      </c>
      <c r="I114" s="27" t="s">
        <v>270</v>
      </c>
      <c r="J114" s="39" t="s">
        <v>271</v>
      </c>
    </row>
    <row r="115" customFormat="false" ht="12.75" hidden="false" customHeight="true" outlineLevel="0" collapsed="false">
      <c r="A115" s="37" t="s">
        <v>272</v>
      </c>
      <c r="B115" s="38" t="n">
        <v>0</v>
      </c>
      <c r="C115" s="38" t="n">
        <v>120</v>
      </c>
      <c r="D115" s="38" t="n">
        <v>130</v>
      </c>
      <c r="E115" s="38" t="n">
        <v>130</v>
      </c>
      <c r="F115" s="25" t="s">
        <v>273</v>
      </c>
      <c r="G115" s="26"/>
      <c r="H115" s="26"/>
      <c r="I115" s="26"/>
      <c r="J115" s="26"/>
    </row>
    <row r="116" customFormat="false" ht="12.75" hidden="false" customHeight="true" outlineLevel="0" collapsed="false">
      <c r="A116" s="37" t="s">
        <v>274</v>
      </c>
      <c r="B116" s="38" t="n">
        <v>0</v>
      </c>
      <c r="C116" s="38" t="n">
        <v>120</v>
      </c>
      <c r="D116" s="38" t="n">
        <v>150</v>
      </c>
      <c r="E116" s="38" t="n">
        <v>150</v>
      </c>
      <c r="F116" s="25" t="s">
        <v>275</v>
      </c>
      <c r="G116" s="26"/>
      <c r="H116" s="26"/>
      <c r="I116" s="26"/>
      <c r="J116" s="26"/>
    </row>
    <row r="117" customFormat="false" ht="12.75" hidden="false" customHeight="true" outlineLevel="0" collapsed="false">
      <c r="A117" s="37" t="s">
        <v>276</v>
      </c>
      <c r="B117" s="38" t="n">
        <v>0</v>
      </c>
      <c r="C117" s="38" t="n">
        <v>400</v>
      </c>
      <c r="D117" s="38" t="n">
        <v>400</v>
      </c>
      <c r="E117" s="38" t="n">
        <v>400</v>
      </c>
      <c r="F117" s="25" t="s">
        <v>275</v>
      </c>
      <c r="G117" s="26"/>
      <c r="H117" s="26"/>
      <c r="I117" s="26"/>
      <c r="J117" s="26"/>
    </row>
    <row r="118" customFormat="false" ht="12.75" hidden="false" customHeight="true" outlineLevel="0" collapsed="false">
      <c r="A118" s="37" t="s">
        <v>277</v>
      </c>
      <c r="B118" s="38" t="n">
        <v>0</v>
      </c>
      <c r="C118" s="38" t="n">
        <v>200</v>
      </c>
      <c r="D118" s="38" t="n">
        <v>50</v>
      </c>
      <c r="E118" s="38" t="n">
        <v>50</v>
      </c>
      <c r="F118" s="25" t="s">
        <v>278</v>
      </c>
      <c r="G118" s="26"/>
      <c r="H118" s="26"/>
      <c r="I118" s="26"/>
      <c r="J118" s="26"/>
    </row>
    <row r="119" customFormat="false" ht="12.75" hidden="false" customHeight="true" outlineLevel="0" collapsed="false">
      <c r="A119" s="37" t="s">
        <v>279</v>
      </c>
      <c r="B119" s="38" t="n">
        <v>0</v>
      </c>
      <c r="C119" s="38" t="n">
        <v>300</v>
      </c>
      <c r="D119" s="38" t="n">
        <v>300</v>
      </c>
      <c r="E119" s="38" t="n">
        <v>300</v>
      </c>
      <c r="F119" s="25" t="s">
        <v>280</v>
      </c>
      <c r="G119" s="26"/>
      <c r="H119" s="26"/>
      <c r="I119" s="26"/>
      <c r="J119" s="26"/>
    </row>
    <row r="120" customFormat="false" ht="27.75" hidden="false" customHeight="true" outlineLevel="0" collapsed="false">
      <c r="A120" s="37" t="s">
        <v>281</v>
      </c>
      <c r="B120" s="38" t="n">
        <v>0</v>
      </c>
      <c r="C120" s="38" t="n">
        <v>200</v>
      </c>
      <c r="D120" s="38" t="n">
        <v>200</v>
      </c>
      <c r="E120" s="38" t="n">
        <v>200</v>
      </c>
      <c r="F120" s="25" t="s">
        <v>282</v>
      </c>
      <c r="G120" s="40" t="s">
        <v>110</v>
      </c>
      <c r="H120" s="41" t="s">
        <v>283</v>
      </c>
      <c r="I120" s="41" t="s">
        <v>284</v>
      </c>
      <c r="J120" s="42" t="s">
        <v>285</v>
      </c>
    </row>
    <row r="121" customFormat="false" ht="27.75" hidden="false" customHeight="true" outlineLevel="0" collapsed="false">
      <c r="A121" s="37" t="s">
        <v>286</v>
      </c>
      <c r="B121" s="38" t="n">
        <v>0</v>
      </c>
      <c r="C121" s="38" t="n">
        <v>10</v>
      </c>
      <c r="D121" s="38" t="n">
        <v>20</v>
      </c>
      <c r="E121" s="38" t="n">
        <v>20</v>
      </c>
      <c r="F121" s="25" t="s">
        <v>287</v>
      </c>
      <c r="G121" s="40" t="s">
        <v>110</v>
      </c>
      <c r="H121" s="41" t="s">
        <v>269</v>
      </c>
      <c r="I121" s="41" t="s">
        <v>67</v>
      </c>
      <c r="J121" s="45" t="s">
        <v>67</v>
      </c>
    </row>
    <row r="123" customFormat="false" ht="14.25" hidden="false" customHeight="true" outlineLevel="0" collapsed="false">
      <c r="A123" s="43" t="s">
        <v>288</v>
      </c>
      <c r="B123" s="44"/>
      <c r="C123" s="44"/>
      <c r="D123" s="44"/>
      <c r="E123" s="44"/>
      <c r="F123" s="44"/>
      <c r="G123" s="5"/>
      <c r="H123" s="5"/>
      <c r="I123" s="5"/>
      <c r="J123" s="5"/>
    </row>
    <row r="124" customFormat="false" ht="12.75" hidden="false" customHeight="true" outlineLevel="0" collapsed="false">
      <c r="A124" s="37" t="s">
        <v>289</v>
      </c>
      <c r="B124" s="38" t="n">
        <v>0</v>
      </c>
      <c r="C124" s="38" t="n">
        <v>300</v>
      </c>
      <c r="D124" s="38" t="n">
        <v>300</v>
      </c>
      <c r="E124" s="38" t="n">
        <v>300</v>
      </c>
      <c r="F124" s="25" t="s">
        <v>290</v>
      </c>
      <c r="G124" s="26" t="s">
        <v>110</v>
      </c>
      <c r="H124" s="27" t="s">
        <v>291</v>
      </c>
      <c r="I124" s="27" t="s">
        <v>292</v>
      </c>
      <c r="J124" s="39" t="s">
        <v>293</v>
      </c>
    </row>
    <row r="125" customFormat="false" ht="12.75" hidden="false" customHeight="true" outlineLevel="0" collapsed="false">
      <c r="A125" s="37" t="s">
        <v>294</v>
      </c>
      <c r="B125" s="38" t="n">
        <v>0</v>
      </c>
      <c r="C125" s="38" t="n">
        <v>120</v>
      </c>
      <c r="D125" s="38" t="n">
        <v>120</v>
      </c>
      <c r="E125" s="38" t="n">
        <v>120</v>
      </c>
      <c r="F125" s="25" t="s">
        <v>295</v>
      </c>
      <c r="G125" s="26"/>
      <c r="H125" s="26"/>
      <c r="I125" s="26"/>
      <c r="J125" s="26"/>
    </row>
    <row r="126" customFormat="false" ht="12.75" hidden="false" customHeight="true" outlineLevel="0" collapsed="false">
      <c r="A126" s="37" t="s">
        <v>296</v>
      </c>
      <c r="B126" s="38" t="n">
        <v>0</v>
      </c>
      <c r="C126" s="38" t="n">
        <v>120</v>
      </c>
      <c r="D126" s="38" t="n">
        <v>122</v>
      </c>
      <c r="E126" s="38" t="n">
        <v>124</v>
      </c>
      <c r="F126" s="25" t="s">
        <v>297</v>
      </c>
      <c r="G126" s="26"/>
      <c r="H126" s="26"/>
      <c r="I126" s="26"/>
      <c r="J126" s="26"/>
    </row>
    <row r="127" customFormat="false" ht="12.75" hidden="false" customHeight="true" outlineLevel="0" collapsed="false">
      <c r="A127" s="37" t="s">
        <v>298</v>
      </c>
      <c r="B127" s="38" t="n">
        <v>0</v>
      </c>
      <c r="C127" s="38" t="n">
        <v>180</v>
      </c>
      <c r="D127" s="38" t="n">
        <v>180</v>
      </c>
      <c r="E127" s="38" t="n">
        <v>180</v>
      </c>
      <c r="F127" s="25" t="s">
        <v>299</v>
      </c>
      <c r="G127" s="26"/>
      <c r="H127" s="26"/>
      <c r="I127" s="26"/>
      <c r="J127" s="26"/>
    </row>
    <row r="128" customFormat="false" ht="14.25" hidden="false" customHeight="true" outlineLevel="0" collapsed="false">
      <c r="A128" s="43" t="s">
        <v>300</v>
      </c>
      <c r="B128" s="44"/>
      <c r="C128" s="44"/>
      <c r="D128" s="44"/>
      <c r="E128" s="44"/>
      <c r="F128" s="44"/>
      <c r="G128" s="5"/>
      <c r="H128" s="5"/>
      <c r="I128" s="5"/>
      <c r="J128" s="5"/>
    </row>
    <row r="129" customFormat="false" ht="39.75" hidden="false" customHeight="true" outlineLevel="0" collapsed="false">
      <c r="A129" s="37" t="s">
        <v>301</v>
      </c>
      <c r="B129" s="38" t="n">
        <v>0</v>
      </c>
      <c r="C129" s="38" t="n">
        <v>224</v>
      </c>
      <c r="D129" s="38" t="n">
        <v>2950</v>
      </c>
      <c r="E129" s="38" t="n">
        <v>12942</v>
      </c>
      <c r="F129" s="25" t="s">
        <v>302</v>
      </c>
      <c r="G129" s="40" t="s">
        <v>303</v>
      </c>
      <c r="H129" s="41" t="s">
        <v>304</v>
      </c>
      <c r="I129" s="41" t="s">
        <v>305</v>
      </c>
      <c r="J129" s="45" t="s">
        <v>306</v>
      </c>
    </row>
    <row r="131" customFormat="false" ht="14.25" hidden="false" customHeight="true" outlineLevel="0" collapsed="false">
      <c r="A131" s="15" t="s">
        <v>307</v>
      </c>
    </row>
    <row r="132" customFormat="false" ht="14.25" hidden="false" customHeight="true" outlineLevel="0" collapsed="false">
      <c r="A132" s="15" t="s">
        <v>308</v>
      </c>
    </row>
    <row r="133" customFormat="false" ht="14.25" hidden="false" customHeight="true" outlineLevel="0" collapsed="false">
      <c r="A133" s="35" t="s">
        <v>309</v>
      </c>
    </row>
  </sheetData>
  <mergeCells count="44">
    <mergeCell ref="G17:G19"/>
    <mergeCell ref="H17:H19"/>
    <mergeCell ref="I17:I19"/>
    <mergeCell ref="J17:J19"/>
    <mergeCell ref="G39:G42"/>
    <mergeCell ref="H39:H42"/>
    <mergeCell ref="I39:I42"/>
    <mergeCell ref="J39:J42"/>
    <mergeCell ref="G46:G48"/>
    <mergeCell ref="H46:H48"/>
    <mergeCell ref="I46:I48"/>
    <mergeCell ref="J46:J48"/>
    <mergeCell ref="G69:G70"/>
    <mergeCell ref="H69:H70"/>
    <mergeCell ref="I69:I70"/>
    <mergeCell ref="J69:J70"/>
    <mergeCell ref="G84:G87"/>
    <mergeCell ref="H84:H87"/>
    <mergeCell ref="I84:I87"/>
    <mergeCell ref="J84:J87"/>
    <mergeCell ref="G90:G93"/>
    <mergeCell ref="H90:H93"/>
    <mergeCell ref="I90:I93"/>
    <mergeCell ref="J90:J93"/>
    <mergeCell ref="G96:G99"/>
    <mergeCell ref="H96:H99"/>
    <mergeCell ref="I96:I99"/>
    <mergeCell ref="J96:J99"/>
    <mergeCell ref="G102:G103"/>
    <mergeCell ref="H102:H103"/>
    <mergeCell ref="I102:I103"/>
    <mergeCell ref="J102:J103"/>
    <mergeCell ref="G104:G109"/>
    <mergeCell ref="H104:H109"/>
    <mergeCell ref="I104:I109"/>
    <mergeCell ref="J104:J109"/>
    <mergeCell ref="G114:G119"/>
    <mergeCell ref="H114:H119"/>
    <mergeCell ref="I114:I119"/>
    <mergeCell ref="J114:J119"/>
    <mergeCell ref="G124:G127"/>
    <mergeCell ref="H124:H127"/>
    <mergeCell ref="I124:I127"/>
    <mergeCell ref="J124:J127"/>
  </mergeCells>
  <hyperlinks>
    <hyperlink ref="J39" r:id="rId1" display="Lettre de mission FIDAL n° 2026-15 ; cahier des charges SATHOAN 2026 · https://www.adequatio-avocats.fr/honoraires/"/>
    <hyperlink ref="J43" r:id="rId2" display="https://www.service-public.gouv.fr/particuliers/vosdroits/F1119"/>
    <hyperlink ref="J46" r:id="rId3" display="https://www.belfort.cci.fr/produit/Accompagnement%20au%20montage%20de%20dossier%20de%20subvention"/>
    <hyperlink ref="J54" r:id="rId4" display="https://www.ovhcloud.com/fr/web-hosting/"/>
    <hyperlink ref="J55" r:id="rId5" display="https://adrienbouchez.fr/tarif-maintenance-wordpress-2026/"/>
    <hyperlink ref="J57" r:id="rId6" display="https://www.printoclock.com/landing-page/440-depliant"/>
    <hyperlink ref="J58" r:id="rId7" display="https://photopresta.fr/photographe-corporate/montpellier"/>
    <hyperlink ref="J59" r:id="rId8" display="https://www.canva.com/help/canva-for-nonprofits/"/>
    <hyperlink ref="J62" r:id="rId9" display="https://www.economie.gouv.fr/particuliers/impots-et-fiscalite/gerer-mon-impot-sur-le-revenu/impot-sur-le-revenu-tout-savoir-sur-le-bareme-des-frais-kilometriques"/>
    <hyperlink ref="J63" r:id="rId10" display="https://www.ouigo.com/train-sete-paris"/>
    <hyperlink ref="J64" r:id="rId11" display="https://www.transavia.com/aeroports/fr-fr/aeroport-montpellier-mediterranee/montpellier-rome"/>
    <hyperlink ref="J65" r:id="rId12" display="https://fr.getaround.com/location-voiture/sete"/>
    <hyperlink ref="J69" r:id="rId13" display="https://www.legisocial.fr/reperes-sociaux/allocations-forfaitaires-frais-professionnels-2026.html"/>
    <hyperlink ref="J72" r:id="rId14" display="https://www.seafoodexpo.com/global/pricing/"/>
    <hyperlink ref="J75" r:id="rId15" display="https://asmillenaire.com/tarifs-location-salle-de-reunion/"/>
    <hyperlink ref="J76" r:id="rId16" display="https://www.traiteurdesgarrigues.com/e-boutique-plateaux-repas-w1.html"/>
    <hyperlink ref="J84" r:id="rId17" display="https://www.europe-guadeloupe.fr/wp-content/uploads/2024/10/Guide-des-Options-de-Couts-Simplifies.pdf"/>
    <hyperlink ref="J90" r:id="rId18" display="https://entreprises.selectra.info/energie/fournisseurs/edf/tarifs-bleu-professionnel"/>
    <hyperlink ref="J96" r:id="rId19" display="https://www.orus.eu/assurance-professionnelle/association"/>
    <hyperlink ref="J102" r:id="rId20" display="https://pro.free.fr/"/>
    <hyperlink ref="J104" r:id="rId21" display="https://www.microsoft.com/fr-fr/microsoft-365/business/nonprofit-plans-and-pricing"/>
    <hyperlink ref="J113" r:id="rId22" display="https://www.europe-guadeloupe.fr/wp-content/uploads/2024/10/DOMO-FEAMPA.pdf"/>
    <hyperlink ref="J114" r:id="rId23" display="https://infodeos.com/location-photocopieur/prix-et-tarifs/"/>
    <hyperlink ref="J120" r:id="rId24" display="https://www.laposte.fr/professionnel/tarifs-postaux-courrier-lettres-timbres"/>
    <hyperlink ref="J124" r:id="rId25" display="https://qonto.com/fr/pricing"/>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false" showOutlineSymbols="true" defaultGridColor="true" view="normal" topLeftCell="A1" colorId="64" zoomScale="74" zoomScaleNormal="74"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Q4" activeCellId="0" sqref="Q4"/>
    </sheetView>
  </sheetViews>
  <sheetFormatPr defaultColWidth="8.6328125" defaultRowHeight="14.25" zeroHeight="false" outlineLevelRow="0" outlineLevelCol="0"/>
  <cols>
    <col collapsed="false" customWidth="true" hidden="false" outlineLevel="0" max="1" min="1" style="1" width="52"/>
    <col collapsed="false" customWidth="true" hidden="false" outlineLevel="0" max="6" min="2" style="1" width="14"/>
  </cols>
  <sheetData>
    <row r="1" customFormat="false" ht="18" hidden="false" customHeight="true" outlineLevel="0" collapsed="false">
      <c r="A1" s="11" t="s">
        <v>310</v>
      </c>
    </row>
    <row r="2" customFormat="false" ht="14.25" hidden="false" customHeight="true" outlineLevel="0" collapsed="false">
      <c r="A2" s="35" t="s">
        <v>311</v>
      </c>
    </row>
    <row r="3" customFormat="false" ht="14.25" hidden="false" customHeight="true" outlineLevel="0" collapsed="false">
      <c r="A3" s="18" t="s">
        <v>312</v>
      </c>
      <c r="B3" s="46" t="s">
        <v>49</v>
      </c>
      <c r="C3" s="46" t="s">
        <v>50</v>
      </c>
      <c r="D3" s="46" t="s">
        <v>51</v>
      </c>
      <c r="E3" s="46" t="s">
        <v>52</v>
      </c>
      <c r="F3" s="46" t="s">
        <v>313</v>
      </c>
    </row>
    <row r="4" customFormat="false" ht="14.25" hidden="false" customHeight="true" outlineLevel="0" collapsed="false">
      <c r="A4" s="36" t="s">
        <v>314</v>
      </c>
      <c r="B4" s="5"/>
      <c r="C4" s="5"/>
      <c r="D4" s="5"/>
      <c r="E4" s="5"/>
      <c r="F4" s="5"/>
    </row>
    <row r="5" customFormat="false" ht="14.25" hidden="false" customHeight="true" outlineLevel="0" collapsed="false">
      <c r="A5" s="16" t="s">
        <v>54</v>
      </c>
      <c r="B5" s="47" t="n">
        <f aca="false">Hypothèses!B12*Hypothèses!$B$17*(1+Hypothèses!$B$20)^0*Hypothèses!B13/12</f>
        <v>0</v>
      </c>
      <c r="C5" s="47" t="n">
        <f aca="false">Hypothèses!C12*Hypothèses!$B$17*(1+Hypothèses!$B$20)^1*Hypothèses!C13/12</f>
        <v>28050</v>
      </c>
      <c r="D5" s="47" t="n">
        <f aca="false">Hypothèses!D12*Hypothèses!$B$17*(1+Hypothèses!$B$20)^2*Hypothèses!D13/12</f>
        <v>57222</v>
      </c>
      <c r="E5" s="47" t="n">
        <f aca="false">Hypothèses!E12*Hypothèses!$B$17*(1+Hypothèses!$B$20)^3*Hypothèses!E13/12</f>
        <v>58366.44</v>
      </c>
      <c r="F5" s="48" t="n">
        <f aca="false">SUM(B5:E5)</f>
        <v>143638.44</v>
      </c>
    </row>
    <row r="6" customFormat="false" ht="14.25" hidden="false" customHeight="true" outlineLevel="0" collapsed="false">
      <c r="A6" s="16" t="s">
        <v>315</v>
      </c>
      <c r="B6" s="47" t="n">
        <f aca="false">Hypothèses!B12*12*(Hypothèses!$B$18+Hypothèses!$B$19)*Hypothèses!B13/12</f>
        <v>0</v>
      </c>
      <c r="C6" s="47" t="n">
        <f aca="false">Hypothèses!C12*12*(Hypothèses!$B$18+Hypothèses!$B$19)*Hypothèses!C13/12</f>
        <v>780</v>
      </c>
      <c r="D6" s="47" t="n">
        <f aca="false">Hypothèses!D12*12*(Hypothèses!$B$18+Hypothèses!$B$19)*Hypothèses!D13/12</f>
        <v>1560</v>
      </c>
      <c r="E6" s="47" t="n">
        <f aca="false">Hypothèses!E12*12*(Hypothèses!$B$18+Hypothèses!$B$19)*Hypothèses!E13/12</f>
        <v>1560</v>
      </c>
      <c r="F6" s="48" t="n">
        <f aca="false">SUM(B6:E6)</f>
        <v>3900</v>
      </c>
    </row>
    <row r="7" customFormat="false" ht="14.25" hidden="false" customHeight="true" outlineLevel="0" collapsed="false">
      <c r="A7" s="33" t="s">
        <v>316</v>
      </c>
      <c r="B7" s="48" t="n">
        <f aca="false">SUM(B5:B6)</f>
        <v>0</v>
      </c>
      <c r="C7" s="48" t="n">
        <f aca="false">SUM(C5:C6)</f>
        <v>28830</v>
      </c>
      <c r="D7" s="48" t="n">
        <f aca="false">SUM(D5:D6)</f>
        <v>58782</v>
      </c>
      <c r="E7" s="48" t="n">
        <f aca="false">SUM(E5:E6)</f>
        <v>59926.44</v>
      </c>
      <c r="F7" s="48" t="n">
        <f aca="false">SUM(B7:E7)</f>
        <v>147538.44</v>
      </c>
    </row>
    <row r="8" customFormat="false" ht="14.25" hidden="false" customHeight="true" outlineLevel="0" collapsed="false">
      <c r="A8" s="36" t="s">
        <v>317</v>
      </c>
      <c r="B8" s="5"/>
      <c r="C8" s="5"/>
      <c r="D8" s="5"/>
      <c r="E8" s="5"/>
      <c r="F8" s="5"/>
    </row>
    <row r="9" customFormat="false" ht="14.25" hidden="false" customHeight="true" outlineLevel="0" collapsed="false">
      <c r="A9" s="16" t="s">
        <v>318</v>
      </c>
      <c r="B9" s="47" t="n">
        <f aca="false">SUM(Hypothèses!B39:B43)</f>
        <v>0</v>
      </c>
      <c r="C9" s="47" t="n">
        <f aca="false">SUM(Hypothèses!C39:C43)</f>
        <v>15230</v>
      </c>
      <c r="D9" s="47" t="n">
        <f aca="false">SUM(Hypothèses!D39:D43)</f>
        <v>25000</v>
      </c>
      <c r="E9" s="47" t="n">
        <f aca="false">SUM(Hypothèses!E39:E43)</f>
        <v>25000</v>
      </c>
      <c r="F9" s="48" t="n">
        <f aca="false">SUM(B9:E9)</f>
        <v>65230</v>
      </c>
    </row>
    <row r="10" customFormat="false" ht="14.25" hidden="false" customHeight="true" outlineLevel="0" collapsed="false">
      <c r="A10" s="16" t="s">
        <v>319</v>
      </c>
      <c r="B10" s="47" t="n">
        <f aca="false">SUM(Hypothèses!B46:B48)</f>
        <v>0</v>
      </c>
      <c r="C10" s="47" t="n">
        <f aca="false">SUM(Hypothèses!C46:C48)</f>
        <v>0</v>
      </c>
      <c r="D10" s="47" t="n">
        <f aca="false">SUM(Hypothèses!D46:D48)</f>
        <v>0</v>
      </c>
      <c r="E10" s="47" t="n">
        <f aca="false">SUM(Hypothèses!E46:E48)</f>
        <v>0</v>
      </c>
      <c r="F10" s="48" t="n">
        <f aca="false">SUM(B10:E10)</f>
        <v>0</v>
      </c>
    </row>
    <row r="11" customFormat="false" ht="14.25" hidden="false" customHeight="true" outlineLevel="0" collapsed="false">
      <c r="A11" s="16" t="s">
        <v>320</v>
      </c>
      <c r="B11" s="47" t="n">
        <f aca="false">SUM(Hypothèses!B51:B51)</f>
        <v>0</v>
      </c>
      <c r="C11" s="47" t="n">
        <f aca="false">SUM(Hypothèses!C51:C51)</f>
        <v>0</v>
      </c>
      <c r="D11" s="47" t="n">
        <f aca="false">SUM(Hypothèses!D51:D51)</f>
        <v>0</v>
      </c>
      <c r="E11" s="47" t="n">
        <f aca="false">SUM(Hypothèses!E51:E51)</f>
        <v>0</v>
      </c>
      <c r="F11" s="48" t="n">
        <f aca="false">SUM(B11:E11)</f>
        <v>0</v>
      </c>
    </row>
    <row r="12" customFormat="false" ht="14.25" hidden="false" customHeight="true" outlineLevel="0" collapsed="false">
      <c r="A12" s="16" t="s">
        <v>321</v>
      </c>
      <c r="B12" s="47" t="n">
        <f aca="false">SUM(Hypothèses!B54:B59)</f>
        <v>0</v>
      </c>
      <c r="C12" s="47" t="n">
        <f aca="false">SUM(Hypothèses!C54:C59)</f>
        <v>2115</v>
      </c>
      <c r="D12" s="47" t="n">
        <f aca="false">SUM(Hypothèses!D54:D59)</f>
        <v>1915</v>
      </c>
      <c r="E12" s="47" t="n">
        <f aca="false">SUM(Hypothèses!E54:E59)</f>
        <v>1915</v>
      </c>
      <c r="F12" s="48" t="n">
        <f aca="false">SUM(B12:E12)</f>
        <v>5945</v>
      </c>
    </row>
    <row r="13" customFormat="false" ht="14.25" hidden="false" customHeight="true" outlineLevel="0" collapsed="false">
      <c r="A13" s="33" t="s">
        <v>322</v>
      </c>
      <c r="B13" s="48" t="n">
        <f aca="false">SUM(B9:B12)</f>
        <v>0</v>
      </c>
      <c r="C13" s="48" t="n">
        <f aca="false">SUM(C9:C12)</f>
        <v>17345</v>
      </c>
      <c r="D13" s="48" t="n">
        <f aca="false">SUM(D9:D12)</f>
        <v>26915</v>
      </c>
      <c r="E13" s="48" t="n">
        <f aca="false">SUM(E9:E12)</f>
        <v>26915</v>
      </c>
      <c r="F13" s="48" t="n">
        <f aca="false">SUM(B13:E13)</f>
        <v>71175</v>
      </c>
    </row>
    <row r="14" customFormat="false" ht="14.25" hidden="false" customHeight="true" outlineLevel="0" collapsed="false">
      <c r="A14" s="36" t="s">
        <v>323</v>
      </c>
      <c r="B14" s="5"/>
      <c r="C14" s="5"/>
      <c r="D14" s="5"/>
      <c r="E14" s="5"/>
      <c r="F14" s="5"/>
    </row>
    <row r="15" customFormat="false" ht="14.25" hidden="false" customHeight="true" outlineLevel="0" collapsed="false">
      <c r="A15" s="16" t="s">
        <v>324</v>
      </c>
      <c r="B15" s="47" t="n">
        <f aca="false">SUM(Hypothèses!B62:B66)</f>
        <v>0</v>
      </c>
      <c r="C15" s="47" t="n">
        <f aca="false">SUM(Hypothèses!C62:C66)</f>
        <v>4490</v>
      </c>
      <c r="D15" s="47" t="n">
        <f aca="false">SUM(Hypothèses!D62:D66)</f>
        <v>6080</v>
      </c>
      <c r="E15" s="47" t="n">
        <f aca="false">SUM(Hypothèses!E62:E66)</f>
        <v>6080</v>
      </c>
      <c r="F15" s="48" t="n">
        <f aca="false">SUM(B15:E15)</f>
        <v>16650</v>
      </c>
    </row>
    <row r="16" customFormat="false" ht="14.25" hidden="false" customHeight="true" outlineLevel="0" collapsed="false">
      <c r="A16" s="16" t="s">
        <v>325</v>
      </c>
      <c r="B16" s="47" t="n">
        <f aca="false">SUM(Hypothèses!B69:B72)</f>
        <v>0</v>
      </c>
      <c r="C16" s="47" t="n">
        <f aca="false">SUM(Hypothèses!C69:C72)</f>
        <v>3100</v>
      </c>
      <c r="D16" s="47" t="n">
        <f aca="false">SUM(Hypothèses!D69:D72)</f>
        <v>4600</v>
      </c>
      <c r="E16" s="47" t="n">
        <f aca="false">SUM(Hypothèses!E69:E72)</f>
        <v>4600</v>
      </c>
      <c r="F16" s="48" t="n">
        <f aca="false">SUM(B16:E16)</f>
        <v>12300</v>
      </c>
    </row>
    <row r="17" customFormat="false" ht="14.25" hidden="false" customHeight="true" outlineLevel="0" collapsed="false">
      <c r="A17" s="33" t="s">
        <v>326</v>
      </c>
      <c r="B17" s="48" t="n">
        <f aca="false">SUM(B15:B16)</f>
        <v>0</v>
      </c>
      <c r="C17" s="48" t="n">
        <f aca="false">SUM(C15:C16)</f>
        <v>7590</v>
      </c>
      <c r="D17" s="48" t="n">
        <f aca="false">SUM(D15:D16)</f>
        <v>10680</v>
      </c>
      <c r="E17" s="48" t="n">
        <f aca="false">SUM(E15:E16)</f>
        <v>10680</v>
      </c>
      <c r="F17" s="48" t="n">
        <f aca="false">SUM(B17:E17)</f>
        <v>28950</v>
      </c>
    </row>
    <row r="18" customFormat="false" ht="14.25" hidden="false" customHeight="true" outlineLevel="0" collapsed="false">
      <c r="A18" s="36" t="s">
        <v>327</v>
      </c>
      <c r="B18" s="5"/>
      <c r="C18" s="5"/>
      <c r="D18" s="5"/>
      <c r="E18" s="5"/>
      <c r="F18" s="5"/>
    </row>
    <row r="19" customFormat="false" ht="14.25" hidden="false" customHeight="true" outlineLevel="0" collapsed="false">
      <c r="A19" s="16" t="s">
        <v>328</v>
      </c>
      <c r="B19" s="47" t="n">
        <f aca="false">SUM(Hypothèses!B75:B78)</f>
        <v>0</v>
      </c>
      <c r="C19" s="47" t="n">
        <f aca="false">SUM(Hypothèses!C75:C78)</f>
        <v>700</v>
      </c>
      <c r="D19" s="47" t="n">
        <f aca="false">SUM(Hypothèses!D75:D78)</f>
        <v>550</v>
      </c>
      <c r="E19" s="47" t="n">
        <f aca="false">SUM(Hypothèses!E75:E78)</f>
        <v>550</v>
      </c>
      <c r="F19" s="48" t="n">
        <f aca="false">SUM(B19:E19)</f>
        <v>1800</v>
      </c>
    </row>
    <row r="20" customFormat="false" ht="14.25" hidden="false" customHeight="true" outlineLevel="0" collapsed="false">
      <c r="A20" s="16" t="s">
        <v>329</v>
      </c>
      <c r="B20" s="47" t="n">
        <f aca="false">SUM(Hypothèses!B81:B81)</f>
        <v>0</v>
      </c>
      <c r="C20" s="47" t="n">
        <f aca="false">SUM(Hypothèses!C81:C81)</f>
        <v>500</v>
      </c>
      <c r="D20" s="47" t="n">
        <f aca="false">SUM(Hypothèses!D81:D81)</f>
        <v>500</v>
      </c>
      <c r="E20" s="47" t="n">
        <f aca="false">SUM(Hypothèses!E81:E81)</f>
        <v>500</v>
      </c>
      <c r="F20" s="48" t="n">
        <f aca="false">SUM(B20:E20)</f>
        <v>1500</v>
      </c>
    </row>
    <row r="21" customFormat="false" ht="14.25" hidden="false" customHeight="true" outlineLevel="0" collapsed="false">
      <c r="A21" s="33" t="s">
        <v>330</v>
      </c>
      <c r="B21" s="48" t="n">
        <f aca="false">SUM(B19:B20)</f>
        <v>0</v>
      </c>
      <c r="C21" s="48" t="n">
        <f aca="false">SUM(C19:C20)</f>
        <v>1200</v>
      </c>
      <c r="D21" s="48" t="n">
        <f aca="false">SUM(D19:D20)</f>
        <v>1050</v>
      </c>
      <c r="E21" s="48" t="n">
        <f aca="false">SUM(E19:E20)</f>
        <v>1050</v>
      </c>
      <c r="F21" s="48" t="n">
        <f aca="false">SUM(B21:E21)</f>
        <v>3300</v>
      </c>
    </row>
    <row r="22" customFormat="false" ht="14.25" hidden="false" customHeight="true" outlineLevel="0" collapsed="false">
      <c r="A22" s="36" t="s">
        <v>331</v>
      </c>
      <c r="B22" s="5"/>
      <c r="C22" s="5"/>
      <c r="D22" s="5"/>
      <c r="E22" s="5"/>
      <c r="F22" s="5"/>
    </row>
    <row r="23" customFormat="false" ht="14.25" hidden="false" customHeight="true" outlineLevel="0" collapsed="false">
      <c r="A23" s="16" t="s">
        <v>332</v>
      </c>
      <c r="B23" s="47" t="n">
        <f aca="false">SUM(Hypothèses!B84:B87)</f>
        <v>0</v>
      </c>
      <c r="C23" s="47" t="n">
        <f aca="false">SUM(Hypothèses!C84:C87)</f>
        <v>0</v>
      </c>
      <c r="D23" s="47" t="n">
        <f aca="false">SUM(Hypothèses!D84:D87)</f>
        <v>0</v>
      </c>
      <c r="E23" s="47" t="n">
        <f aca="false">SUM(Hypothèses!E84:E87)</f>
        <v>0</v>
      </c>
      <c r="F23" s="48" t="n">
        <f aca="false">SUM(B23:E23)</f>
        <v>0</v>
      </c>
    </row>
    <row r="24" customFormat="false" ht="14.25" hidden="false" customHeight="true" outlineLevel="0" collapsed="false">
      <c r="A24" s="16" t="s">
        <v>333</v>
      </c>
      <c r="B24" s="47" t="n">
        <f aca="false">SUM(Hypothèses!B90:B93)</f>
        <v>0</v>
      </c>
      <c r="C24" s="47" t="n">
        <f aca="false">SUM(Hypothèses!C90:C93)</f>
        <v>1200</v>
      </c>
      <c r="D24" s="47" t="n">
        <f aca="false">SUM(Hypothèses!D90:D93)</f>
        <v>1224</v>
      </c>
      <c r="E24" s="47" t="n">
        <f aca="false">SUM(Hypothèses!E90:E93)</f>
        <v>1248</v>
      </c>
      <c r="F24" s="48" t="n">
        <f aca="false">SUM(B24:E24)</f>
        <v>3672</v>
      </c>
    </row>
    <row r="25" customFormat="false" ht="14.25" hidden="false" customHeight="true" outlineLevel="0" collapsed="false">
      <c r="A25" s="16" t="s">
        <v>334</v>
      </c>
      <c r="B25" s="47" t="n">
        <f aca="false">SUM(Hypothèses!B96:B99)</f>
        <v>0</v>
      </c>
      <c r="C25" s="47" t="n">
        <f aca="false">SUM(Hypothèses!C96:C99)</f>
        <v>700</v>
      </c>
      <c r="D25" s="47" t="n">
        <f aca="false">SUM(Hypothèses!D96:D99)</f>
        <v>714</v>
      </c>
      <c r="E25" s="47" t="n">
        <f aca="false">SUM(Hypothèses!E96:E99)</f>
        <v>728</v>
      </c>
      <c r="F25" s="48" t="n">
        <f aca="false">SUM(B25:E25)</f>
        <v>2142</v>
      </c>
    </row>
    <row r="26" customFormat="false" ht="14.25" hidden="false" customHeight="true" outlineLevel="0" collapsed="false">
      <c r="A26" s="16" t="s">
        <v>335</v>
      </c>
      <c r="B26" s="47" t="n">
        <f aca="false">SUM(Hypothèses!B102:B109)</f>
        <v>0</v>
      </c>
      <c r="C26" s="47" t="n">
        <f aca="false">SUM(Hypothèses!C102:C109)</f>
        <v>2148</v>
      </c>
      <c r="D26" s="47" t="n">
        <f aca="false">SUM(Hypothèses!D102:D109)</f>
        <v>2852</v>
      </c>
      <c r="E26" s="47" t="n">
        <f aca="false">SUM(Hypothèses!E102:E109)</f>
        <v>2909</v>
      </c>
      <c r="F26" s="48" t="n">
        <f aca="false">SUM(B26:E26)</f>
        <v>7909</v>
      </c>
    </row>
    <row r="27" customFormat="false" ht="14.25" hidden="false" customHeight="true" outlineLevel="0" collapsed="false">
      <c r="A27" s="16" t="s">
        <v>336</v>
      </c>
      <c r="B27" s="47" t="n">
        <f aca="false">SUM(Hypothèses!B112:B121)</f>
        <v>0</v>
      </c>
      <c r="C27" s="47" t="n">
        <f aca="false">SUM(Hypothèses!C112:C121)</f>
        <v>2550</v>
      </c>
      <c r="D27" s="47" t="n">
        <f aca="false">SUM(Hypothèses!D112:D121)</f>
        <v>2450</v>
      </c>
      <c r="E27" s="47" t="n">
        <f aca="false">SUM(Hypothèses!E112:E121)</f>
        <v>2450</v>
      </c>
      <c r="F27" s="48" t="n">
        <f aca="false">SUM(B27:E27)</f>
        <v>7450</v>
      </c>
    </row>
    <row r="28" customFormat="false" ht="14.25" hidden="false" customHeight="true" outlineLevel="0" collapsed="false">
      <c r="A28" s="16" t="s">
        <v>337</v>
      </c>
      <c r="B28" s="47" t="n">
        <f aca="false">SUM(Hypothèses!B124:B127)</f>
        <v>0</v>
      </c>
      <c r="C28" s="47" t="n">
        <f aca="false">SUM(Hypothèses!C124:C127)</f>
        <v>720</v>
      </c>
      <c r="D28" s="47" t="n">
        <f aca="false">SUM(Hypothèses!D124:D127)</f>
        <v>722</v>
      </c>
      <c r="E28" s="47" t="n">
        <f aca="false">SUM(Hypothèses!E124:E127)</f>
        <v>724</v>
      </c>
      <c r="F28" s="48" t="n">
        <f aca="false">SUM(B28:E28)</f>
        <v>2166</v>
      </c>
    </row>
    <row r="29" customFormat="false" ht="14.25" hidden="false" customHeight="true" outlineLevel="0" collapsed="false">
      <c r="A29" s="16" t="s">
        <v>338</v>
      </c>
      <c r="B29" s="49" t="n">
        <f aca="false">Hypothèses!B129</f>
        <v>0</v>
      </c>
      <c r="C29" s="49" t="n">
        <f aca="false">Hypothèses!C129</f>
        <v>224</v>
      </c>
      <c r="D29" s="49" t="n">
        <f aca="false">Hypothèses!D129</f>
        <v>2950</v>
      </c>
      <c r="E29" s="49" t="n">
        <f aca="false">Hypothèses!E129</f>
        <v>12942</v>
      </c>
      <c r="F29" s="48" t="n">
        <f aca="false">SUM(B29:E29)</f>
        <v>16116</v>
      </c>
    </row>
    <row r="30" customFormat="false" ht="14.25" hidden="false" customHeight="true" outlineLevel="0" collapsed="false">
      <c r="A30" s="33" t="s">
        <v>339</v>
      </c>
      <c r="B30" s="48" t="n">
        <f aca="false">SUM(B23:B29)</f>
        <v>0</v>
      </c>
      <c r="C30" s="48" t="n">
        <f aca="false">SUM(C23:C29)</f>
        <v>7542</v>
      </c>
      <c r="D30" s="48" t="n">
        <f aca="false">SUM(D23:D29)</f>
        <v>10912</v>
      </c>
      <c r="E30" s="48" t="n">
        <f aca="false">SUM(E23:E29)</f>
        <v>21001</v>
      </c>
      <c r="F30" s="48" t="n">
        <f aca="false">SUM(B30:E30)</f>
        <v>39455</v>
      </c>
    </row>
    <row r="32" customFormat="false" ht="14.25" hidden="false" customHeight="true" outlineLevel="0" collapsed="false">
      <c r="A32" s="50" t="s">
        <v>340</v>
      </c>
      <c r="B32" s="51" t="n">
        <f aca="false">B7+B13+B17+B21+B30</f>
        <v>0</v>
      </c>
      <c r="C32" s="51" t="n">
        <f aca="false">C7+C13+C17+C21+C30</f>
        <v>62507</v>
      </c>
      <c r="D32" s="51" t="n">
        <f aca="false">D7+D13+D17+D21+D30</f>
        <v>108339</v>
      </c>
      <c r="E32" s="51" t="n">
        <f aca="false">E7+E13+E17+E21+E30</f>
        <v>119572.44</v>
      </c>
      <c r="F32" s="51" t="n">
        <f aca="false">SUM(B32:E32)</f>
        <v>290418.44</v>
      </c>
    </row>
    <row r="34" customFormat="false" ht="14.25" hidden="false" customHeight="true" outlineLevel="0" collapsed="false">
      <c r="A34" s="15" t="s">
        <v>341</v>
      </c>
    </row>
    <row r="35" customFormat="false" ht="14.25" hidden="false" customHeight="true" outlineLevel="0" collapsed="false">
      <c r="A35" s="15" t="s">
        <v>342</v>
      </c>
    </row>
    <row r="36" customFormat="false" ht="14.25" hidden="false" customHeight="true" outlineLevel="0" collapsed="false">
      <c r="A36" s="35"/>
    </row>
    <row r="38" customFormat="false" ht="14.25" hidden="false" customHeight="true" outlineLevel="0" collapsed="false">
      <c r="A38" s="36" t="s">
        <v>343</v>
      </c>
    </row>
    <row r="39" customFormat="false" ht="14.25" hidden="false" customHeight="true" outlineLevel="0" collapsed="false">
      <c r="A39" s="16" t="s">
        <v>344</v>
      </c>
      <c r="B39" s="47" t="n">
        <f aca="false">(B5+B6)*Hypothèses!$B$25</f>
        <v>0</v>
      </c>
      <c r="C39" s="47" t="n">
        <f aca="false">(C5+C6)*Hypothèses!$B$25</f>
        <v>17298</v>
      </c>
      <c r="D39" s="47" t="n">
        <f aca="false">(D5+D6)*Hypothèses!$B$25</f>
        <v>35269.2</v>
      </c>
      <c r="E39" s="47" t="n">
        <f aca="false">(E5+E6)*Hypothèses!$B$25</f>
        <v>35955.864</v>
      </c>
      <c r="F39" s="48" t="n">
        <f aca="false">SUM(B39:E39)</f>
        <v>88523.064</v>
      </c>
    </row>
    <row r="40" customFormat="false" ht="14.25" hidden="false" customHeight="true" outlineLevel="0" collapsed="false">
      <c r="A40" s="16" t="s">
        <v>345</v>
      </c>
      <c r="B40" s="47" t="n">
        <f aca="false">B39*Hypothèses!$B$26</f>
        <v>0</v>
      </c>
      <c r="C40" s="47" t="n">
        <f aca="false">C39*Hypothèses!$B$26</f>
        <v>2594.7</v>
      </c>
      <c r="D40" s="47" t="n">
        <f aca="false">D39*Hypothèses!$B$26</f>
        <v>5290.38</v>
      </c>
      <c r="E40" s="47" t="n">
        <f aca="false">E39*Hypothèses!$B$26</f>
        <v>5393.3796</v>
      </c>
      <c r="F40" s="48" t="n">
        <f aca="false">SUM(B40:E40)</f>
        <v>13278.4596</v>
      </c>
    </row>
    <row r="41" customFormat="false" ht="14.25" hidden="false" customHeight="true" outlineLevel="0" collapsed="false">
      <c r="A41" s="16" t="s">
        <v>346</v>
      </c>
      <c r="B41" s="47" t="n">
        <f aca="false">B13-Hypothèses!B43-Hypothèses!B54-Hypothèses!B59</f>
        <v>0</v>
      </c>
      <c r="C41" s="47" t="n">
        <f aca="false">C13-Hypothèses!C43-Hypothèses!C54-Hypothèses!C59</f>
        <v>17000</v>
      </c>
      <c r="D41" s="47" t="n">
        <f aca="false">D13-Hypothèses!D43-Hypothèses!D54-Hypothèses!D59</f>
        <v>26800</v>
      </c>
      <c r="E41" s="47" t="n">
        <f aca="false">E13-Hypothèses!E43-Hypothèses!E54-Hypothèses!E59</f>
        <v>26800</v>
      </c>
      <c r="F41" s="48" t="n">
        <f aca="false">SUM(B41:E41)</f>
        <v>70600</v>
      </c>
    </row>
    <row r="42" customFormat="false" ht="14.25" hidden="false" customHeight="true" outlineLevel="0" collapsed="false">
      <c r="A42" s="16" t="s">
        <v>347</v>
      </c>
      <c r="B42" s="47" t="n">
        <f aca="false">B39*Hypothèses!$B$27</f>
        <v>0</v>
      </c>
      <c r="C42" s="47" t="n">
        <f aca="false">C39*Hypothèses!$B$27</f>
        <v>1089.774</v>
      </c>
      <c r="D42" s="47" t="n">
        <f aca="false">D39*Hypothèses!$B$27</f>
        <v>2221.9596</v>
      </c>
      <c r="E42" s="47" t="n">
        <f aca="false">E39*Hypothèses!$B$27</f>
        <v>2265.219432</v>
      </c>
      <c r="F42" s="48" t="n">
        <f aca="false">SUM(B42:E42)</f>
        <v>5576.953032</v>
      </c>
    </row>
    <row r="43" customFormat="false" ht="14.25" hidden="false" customHeight="true" outlineLevel="0" collapsed="false">
      <c r="A43" s="16" t="s">
        <v>348</v>
      </c>
      <c r="B43" s="47" t="n">
        <f aca="false">Hypothèses!B72</f>
        <v>0</v>
      </c>
      <c r="C43" s="47" t="n">
        <f aca="false">Hypothèses!C72</f>
        <v>1500</v>
      </c>
      <c r="D43" s="47" t="n">
        <f aca="false">Hypothèses!D72</f>
        <v>3000</v>
      </c>
      <c r="E43" s="47" t="n">
        <f aca="false">Hypothèses!E72</f>
        <v>3000</v>
      </c>
      <c r="F43" s="48" t="n">
        <f aca="false">SUM(B43:E43)</f>
        <v>7500</v>
      </c>
    </row>
    <row r="44" customFormat="false" ht="14.25" hidden="false" customHeight="true" outlineLevel="0" collapsed="false">
      <c r="A44" s="16" t="s">
        <v>349</v>
      </c>
      <c r="B44" s="47" t="n">
        <f aca="false">B21</f>
        <v>0</v>
      </c>
      <c r="C44" s="47" t="n">
        <f aca="false">C21</f>
        <v>1200</v>
      </c>
      <c r="D44" s="47" t="n">
        <f aca="false">D21</f>
        <v>1050</v>
      </c>
      <c r="E44" s="47" t="n">
        <f aca="false">E21</f>
        <v>1050</v>
      </c>
      <c r="F44" s="48" t="n">
        <f aca="false">SUM(B44:E44)</f>
        <v>3300</v>
      </c>
    </row>
    <row r="45" customFormat="false" ht="14.25" hidden="false" customHeight="true" outlineLevel="0" collapsed="false">
      <c r="A45" s="50" t="s">
        <v>350</v>
      </c>
      <c r="B45" s="51" t="n">
        <f aca="false">SUM(B39:B44)</f>
        <v>0</v>
      </c>
      <c r="C45" s="51" t="n">
        <f aca="false">SUM(C39:C44)</f>
        <v>40682.474</v>
      </c>
      <c r="D45" s="51" t="n">
        <f aca="false">SUM(D39:D44)</f>
        <v>73631.5396</v>
      </c>
      <c r="E45" s="51" t="n">
        <f aca="false">SUM(E39:E44)</f>
        <v>74464.463032</v>
      </c>
      <c r="F45" s="51" t="n">
        <f aca="false">SUM(F39:F44)</f>
        <v>188778.476632</v>
      </c>
    </row>
    <row r="46" customFormat="false" ht="14.25" hidden="false" customHeight="true" outlineLevel="0" collapsed="false">
      <c r="A46" s="1"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J10" activeCellId="0" sqref="J10"/>
    </sheetView>
  </sheetViews>
  <sheetFormatPr defaultColWidth="8.6328125" defaultRowHeight="14.25" zeroHeight="false" outlineLevelRow="0" outlineLevelCol="0"/>
  <cols>
    <col collapsed="false" customWidth="true" hidden="false" outlineLevel="0" max="1" min="1" style="1" width="56.73"/>
    <col collapsed="false" customWidth="true" hidden="false" outlineLevel="0" max="6" min="2" style="1" width="14"/>
  </cols>
  <sheetData>
    <row r="1" customFormat="false" ht="18" hidden="false" customHeight="true" outlineLevel="0" collapsed="false">
      <c r="A1" s="11" t="s">
        <v>352</v>
      </c>
    </row>
    <row r="3" customFormat="false" ht="14.25" hidden="false" customHeight="true" outlineLevel="0" collapsed="false">
      <c r="A3" s="18" t="s">
        <v>353</v>
      </c>
      <c r="B3" s="46" t="s">
        <v>49</v>
      </c>
      <c r="C3" s="46" t="s">
        <v>50</v>
      </c>
      <c r="D3" s="46" t="s">
        <v>51</v>
      </c>
      <c r="E3" s="46" t="s">
        <v>52</v>
      </c>
      <c r="F3" s="46" t="s">
        <v>313</v>
      </c>
    </row>
    <row r="4" customFormat="false" ht="14.25" hidden="false" customHeight="true" outlineLevel="0" collapsed="false">
      <c r="A4" s="36" t="s">
        <v>354</v>
      </c>
      <c r="B4" s="5"/>
      <c r="C4" s="5"/>
      <c r="D4" s="5"/>
      <c r="E4" s="5"/>
      <c r="F4" s="5"/>
    </row>
    <row r="5" customFormat="false" ht="14.25" hidden="false" customHeight="true" outlineLevel="0" collapsed="false">
      <c r="A5" s="16" t="s">
        <v>88</v>
      </c>
      <c r="B5" s="47" t="n">
        <f aca="false">Hypothèses!$B$23*Hypothèses!$B$30*Dépenses!B45</f>
        <v>0</v>
      </c>
      <c r="C5" s="47" t="n">
        <f aca="false">Hypothèses!$B$23*Hypothèses!$B$30*Dépenses!C45</f>
        <v>32545.9792</v>
      </c>
      <c r="D5" s="47" t="n">
        <f aca="false">Hypothèses!$B$23*Hypothèses!$B$30*Dépenses!D45</f>
        <v>58905.23168</v>
      </c>
      <c r="E5" s="47" t="n">
        <f aca="false">Hypothèses!$B$23*Hypothèses!$B$30*Dépenses!E45</f>
        <v>59571.5704256</v>
      </c>
      <c r="F5" s="48" t="n">
        <f aca="false">SUM(B5:E5)</f>
        <v>151022.7813056</v>
      </c>
    </row>
    <row r="6" customFormat="false" ht="14.25" hidden="false" customHeight="true" outlineLevel="0" collapsed="false">
      <c r="A6" s="16" t="s">
        <v>90</v>
      </c>
      <c r="B6" s="47" t="n">
        <f aca="false">Hypothèses!$B$23*Hypothèses!$B$31*Dépenses!B45</f>
        <v>0</v>
      </c>
      <c r="C6" s="47" t="n">
        <f aca="false">Hypothèses!$B$23*Hypothèses!$B$31*Dépenses!C45</f>
        <v>0</v>
      </c>
      <c r="D6" s="47" t="n">
        <f aca="false">Hypothèses!$B$23*Hypothèses!$B$31*Dépenses!D45</f>
        <v>0</v>
      </c>
      <c r="E6" s="47" t="n">
        <f aca="false">Hypothèses!$B$23*Hypothèses!$B$31*Dépenses!E45</f>
        <v>0</v>
      </c>
      <c r="F6" s="48" t="n">
        <f aca="false">SUM(B6:E6)</f>
        <v>0</v>
      </c>
    </row>
    <row r="7" customFormat="false" ht="14.25" hidden="false" customHeight="true" outlineLevel="0" collapsed="false">
      <c r="A7" s="16" t="s">
        <v>91</v>
      </c>
      <c r="B7" s="47" t="n">
        <f aca="false">Hypothèses!$B$23*Hypothèses!$B$32*Dépenses!B45</f>
        <v>0</v>
      </c>
      <c r="C7" s="47" t="n">
        <f aca="false">Hypothèses!$B$23*Hypothèses!$B$32*Dépenses!C45</f>
        <v>0</v>
      </c>
      <c r="D7" s="47" t="n">
        <f aca="false">Hypothèses!$B$23*Hypothèses!$B$32*Dépenses!D45</f>
        <v>0</v>
      </c>
      <c r="E7" s="47" t="n">
        <f aca="false">Hypothèses!$B$23*Hypothèses!$B$32*Dépenses!E45</f>
        <v>0</v>
      </c>
      <c r="F7" s="48" t="n">
        <f aca="false">SUM(B7:E7)</f>
        <v>0</v>
      </c>
    </row>
    <row r="8" customFormat="false" ht="14.25" hidden="false" customHeight="true" outlineLevel="0" collapsed="false">
      <c r="A8" s="33" t="s">
        <v>355</v>
      </c>
      <c r="B8" s="48" t="n">
        <f aca="false">SUM(B5:B7)</f>
        <v>0</v>
      </c>
      <c r="C8" s="48" t="n">
        <f aca="false">SUM(C5:C7)</f>
        <v>32545.9792</v>
      </c>
      <c r="D8" s="48" t="n">
        <f aca="false">SUM(D5:D7)</f>
        <v>58905.23168</v>
      </c>
      <c r="E8" s="48" t="n">
        <f aca="false">SUM(E5:E7)</f>
        <v>59571.5704256</v>
      </c>
      <c r="F8" s="48" t="n">
        <f aca="false">SUM(B8:E8)</f>
        <v>151022.7813056</v>
      </c>
    </row>
    <row r="9" customFormat="false" ht="14.25" hidden="false" customHeight="true" outlineLevel="0" collapsed="false">
      <c r="A9" s="36" t="s">
        <v>356</v>
      </c>
      <c r="B9" s="5"/>
      <c r="C9" s="5"/>
      <c r="D9" s="5"/>
      <c r="E9" s="5"/>
      <c r="F9" s="5"/>
    </row>
    <row r="10" customFormat="false" ht="14.25" hidden="false" customHeight="true" outlineLevel="0" collapsed="false">
      <c r="A10" s="16" t="s">
        <v>357</v>
      </c>
      <c r="B10" s="49" t="n">
        <v>0</v>
      </c>
      <c r="C10" s="49" t="n">
        <f aca="false">0.2*(Dépenses!C5+Dépenses!C6)</f>
        <v>5766</v>
      </c>
      <c r="D10" s="49" t="n">
        <f aca="false">0.2*(Dépenses!D5+Dépenses!D6)</f>
        <v>11756.4</v>
      </c>
      <c r="E10" s="49" t="n">
        <f aca="false">0.2*(Dépenses!E5+Dépenses!E6)</f>
        <v>11985.288</v>
      </c>
      <c r="F10" s="48" t="n">
        <f aca="false">SUM(B10:E10)</f>
        <v>29507.688</v>
      </c>
    </row>
    <row r="11" customFormat="false" ht="21.75" hidden="false" customHeight="true" outlineLevel="0" collapsed="false">
      <c r="A11" s="16" t="s">
        <v>358</v>
      </c>
      <c r="B11" s="52" t="n">
        <v>0</v>
      </c>
      <c r="C11" s="52" t="n">
        <f aca="false">0.2*(Dépenses!C23+Dépenses!C24+Hypothèses!C96+Dépenses!C26+Dépenses!C27-Hypothèses!C113)</f>
        <v>1239.6</v>
      </c>
      <c r="D11" s="52" t="n">
        <f aca="false">0.2*(Dépenses!D23+Dépenses!D24+Hypothèses!D96+Dépenses!D26+Dépenses!D27-Hypothèses!D113)</f>
        <v>1366.4</v>
      </c>
      <c r="E11" s="52" t="n">
        <f aca="false">0.2*(Dépenses!E23+Dépenses!E24+Hypothèses!E96+Dépenses!E26+Dépenses!E27-Hypothèses!E113)</f>
        <v>1383.8</v>
      </c>
      <c r="F11" s="48" t="n">
        <f aca="false">SUM(B11:E11)</f>
        <v>3989.8</v>
      </c>
    </row>
    <row r="12" customFormat="false" ht="14.25" hidden="false" customHeight="true" outlineLevel="0" collapsed="false">
      <c r="A12" s="16" t="s">
        <v>359</v>
      </c>
      <c r="B12" s="49" t="n">
        <v>0</v>
      </c>
      <c r="C12" s="49" t="n">
        <f aca="false">0.2*(Dépenses!C5+Dépenses!C6)</f>
        <v>5766</v>
      </c>
      <c r="D12" s="49" t="n">
        <f aca="false">0.2*(Dépenses!D5+Dépenses!D6)</f>
        <v>11756.4</v>
      </c>
      <c r="E12" s="49" t="n">
        <f aca="false">0.2*(Dépenses!E5+Dépenses!E6)</f>
        <v>11985.288</v>
      </c>
      <c r="F12" s="48" t="n">
        <f aca="false">SUM(B12:E12)</f>
        <v>29507.688</v>
      </c>
    </row>
    <row r="13" customFormat="false" ht="14.25" hidden="false" customHeight="true" outlineLevel="0" collapsed="false">
      <c r="A13" s="16" t="s">
        <v>360</v>
      </c>
      <c r="B13" s="49" t="n">
        <v>0</v>
      </c>
      <c r="C13" s="49" t="n">
        <f aca="false">0.2*(Dépenses!C23+Dépenses!C24+Hypothèses!C96+Dépenses!C26+Dépenses!C27-Hypothèses!C113)</f>
        <v>1239.6</v>
      </c>
      <c r="D13" s="49" t="n">
        <f aca="false">0.2*(Dépenses!D23+Dépenses!D24+Hypothèses!D96+Dépenses!D26+Dépenses!D27-Hypothèses!D113)</f>
        <v>1366.4</v>
      </c>
      <c r="E13" s="49" t="n">
        <f aca="false">0.2*(Dépenses!E23+Dépenses!E24+Hypothèses!E96+Dépenses!E26+Dépenses!E27-Hypothèses!E113)</f>
        <v>1383.8</v>
      </c>
      <c r="F13" s="48" t="n">
        <f aca="false">SUM(B13:E13)</f>
        <v>3989.8</v>
      </c>
    </row>
    <row r="14" customFormat="false" ht="32.25" hidden="false" customHeight="true" outlineLevel="0" collapsed="false">
      <c r="A14" s="16" t="s">
        <v>361</v>
      </c>
      <c r="B14" s="49" t="n">
        <f aca="false">MAX(0,Dépenses!B32-B8-B10-B11-B12-B13-B15)</f>
        <v>0</v>
      </c>
      <c r="C14" s="49" t="n">
        <f aca="false">MAX(0,Dépenses!C32-C8-C10-C11-C12-C13-C15)</f>
        <v>15324.7508</v>
      </c>
      <c r="D14" s="49" t="n">
        <f aca="false">MAX(0,Dépenses!D32-D8-D10-D11-D12-D13-D15)</f>
        <v>22104.77832</v>
      </c>
      <c r="E14" s="49" t="n">
        <f aca="false">MAX(0,Dépenses!E32-E8-E10-E11-E12-E13-E15)</f>
        <v>32066.9691744</v>
      </c>
      <c r="F14" s="48" t="n">
        <f aca="false">SUM(B14:E14)</f>
        <v>69496.4982944</v>
      </c>
    </row>
    <row r="15" customFormat="false" ht="14.25" hidden="false" customHeight="true" outlineLevel="0" collapsed="false">
      <c r="A15" s="33" t="s">
        <v>362</v>
      </c>
      <c r="B15" s="49" t="n">
        <f aca="false">Hypothèses!$B$24*Dépenses!B32</f>
        <v>0</v>
      </c>
      <c r="C15" s="49" t="n">
        <f aca="false">Hypothèses!$B$24*Dépenses!C32</f>
        <v>625.07</v>
      </c>
      <c r="D15" s="49" t="n">
        <f aca="false">Hypothèses!$B$24*Dépenses!D32</f>
        <v>1083.39</v>
      </c>
      <c r="E15" s="49" t="n">
        <f aca="false">Hypothèses!$B$24*Dépenses!E32</f>
        <v>1195.7244</v>
      </c>
      <c r="F15" s="48" t="n">
        <f aca="false">SUM(B15:E15)</f>
        <v>2904.1844</v>
      </c>
    </row>
    <row r="16" customFormat="false" ht="14.25" hidden="false" customHeight="true" outlineLevel="0" collapsed="false">
      <c r="A16" s="33" t="s">
        <v>363</v>
      </c>
      <c r="B16" s="48" t="n">
        <f aca="false">SUM(B10:B15)</f>
        <v>0</v>
      </c>
      <c r="C16" s="48" t="n">
        <f aca="false">SUM(C10:C15)</f>
        <v>29961.0208</v>
      </c>
      <c r="D16" s="48" t="n">
        <f aca="false">SUM(D10:D15)</f>
        <v>49433.76832</v>
      </c>
      <c r="E16" s="48" t="n">
        <f aca="false">SUM(E10:E15)</f>
        <v>60000.8695744</v>
      </c>
      <c r="F16" s="48" t="n">
        <f aca="false">SUM(B16:E16)</f>
        <v>139395.6586944</v>
      </c>
    </row>
    <row r="17" customFormat="false" ht="14.25" hidden="false" customHeight="true" outlineLevel="0" collapsed="false">
      <c r="A17" s="50" t="s">
        <v>364</v>
      </c>
      <c r="B17" s="51" t="n">
        <f aca="false">B8+B16</f>
        <v>0</v>
      </c>
      <c r="C17" s="51" t="n">
        <f aca="false">C8+C16</f>
        <v>62507</v>
      </c>
      <c r="D17" s="51" t="n">
        <f aca="false">D8+D16</f>
        <v>108339</v>
      </c>
      <c r="E17" s="51" t="n">
        <f aca="false">E8+E16</f>
        <v>119572.44</v>
      </c>
      <c r="F17" s="51" t="n">
        <f aca="false">SUM(B17:E17)</f>
        <v>290418.44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97" zoomScaleNormal="97"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J14" activeCellId="0" sqref="J14"/>
    </sheetView>
  </sheetViews>
  <sheetFormatPr defaultColWidth="8.6328125" defaultRowHeight="14.25" zeroHeight="false" outlineLevelRow="0" outlineLevelCol="0"/>
  <cols>
    <col collapsed="false" customWidth="true" hidden="false" outlineLevel="0" max="1" min="1" style="1" width="52"/>
    <col collapsed="false" customWidth="true" hidden="false" outlineLevel="0" max="6" min="2" style="1" width="14"/>
  </cols>
  <sheetData>
    <row r="1" customFormat="false" ht="18" hidden="false" customHeight="true" outlineLevel="0" collapsed="false">
      <c r="A1" s="11" t="s">
        <v>365</v>
      </c>
    </row>
    <row r="3" customFormat="false" ht="14.25" hidden="false" customHeight="true" outlineLevel="0" collapsed="false">
      <c r="A3" s="18" t="s">
        <v>366</v>
      </c>
      <c r="B3" s="46" t="s">
        <v>49</v>
      </c>
      <c r="C3" s="46" t="s">
        <v>50</v>
      </c>
      <c r="D3" s="46" t="s">
        <v>51</v>
      </c>
      <c r="E3" s="46" t="s">
        <v>52</v>
      </c>
      <c r="F3" s="46" t="s">
        <v>313</v>
      </c>
    </row>
    <row r="4" customFormat="false" ht="14.25" hidden="false" customHeight="true" outlineLevel="0" collapsed="false">
      <c r="A4" s="33" t="s">
        <v>367</v>
      </c>
      <c r="B4" s="48" t="n">
        <f aca="false">Dépenses!B32</f>
        <v>0</v>
      </c>
      <c r="C4" s="48" t="n">
        <f aca="false">Dépenses!C32</f>
        <v>62507</v>
      </c>
      <c r="D4" s="48" t="n">
        <f aca="false">Dépenses!D32</f>
        <v>108339</v>
      </c>
      <c r="E4" s="48" t="n">
        <f aca="false">Dépenses!E32</f>
        <v>119572.44</v>
      </c>
      <c r="F4" s="48" t="n">
        <f aca="false">SUM(B4:E4)</f>
        <v>290418.44</v>
      </c>
    </row>
    <row r="5" customFormat="false" ht="14.25" hidden="false" customHeight="true" outlineLevel="0" collapsed="false">
      <c r="A5" s="33" t="s">
        <v>368</v>
      </c>
      <c r="B5" s="48" t="n">
        <f aca="false">Ressources!B17</f>
        <v>0</v>
      </c>
      <c r="C5" s="48" t="n">
        <f aca="false">Ressources!C17</f>
        <v>62507</v>
      </c>
      <c r="D5" s="48" t="n">
        <f aca="false">Ressources!D17</f>
        <v>108339</v>
      </c>
      <c r="E5" s="48" t="n">
        <f aca="false">Ressources!E17</f>
        <v>119572.44</v>
      </c>
      <c r="F5" s="48" t="n">
        <f aca="false">SUM(B5:E5)</f>
        <v>290418.44</v>
      </c>
    </row>
    <row r="6" customFormat="false" ht="14.25" hidden="false" customHeight="true" outlineLevel="0" collapsed="false">
      <c r="A6" s="33" t="s">
        <v>369</v>
      </c>
      <c r="B6" s="48" t="n">
        <f aca="false">B5-B4</f>
        <v>0</v>
      </c>
      <c r="C6" s="48" t="n">
        <f aca="false">C5-C4</f>
        <v>0</v>
      </c>
      <c r="D6" s="48" t="n">
        <f aca="false">D5-D4</f>
        <v>0</v>
      </c>
      <c r="E6" s="48" t="n">
        <f aca="false">E5-E4</f>
        <v>0</v>
      </c>
      <c r="F6" s="48" t="n">
        <f aca="false">SUM(B6:E6)</f>
        <v>0</v>
      </c>
    </row>
    <row r="8" customFormat="false" ht="14.25" hidden="false" customHeight="true" outlineLevel="0" collapsed="false">
      <c r="A8" s="16" t="s">
        <v>370</v>
      </c>
      <c r="B8" s="47" t="n">
        <f aca="false">Dépenses!B7</f>
        <v>0</v>
      </c>
      <c r="C8" s="47" t="n">
        <f aca="false">Dépenses!C7</f>
        <v>28830</v>
      </c>
      <c r="D8" s="47" t="n">
        <f aca="false">Dépenses!D7</f>
        <v>58782</v>
      </c>
      <c r="E8" s="47" t="n">
        <f aca="false">Dépenses!E7</f>
        <v>59926.44</v>
      </c>
      <c r="F8" s="48" t="n">
        <f aca="false">SUM(B8:E8)</f>
        <v>147538.44</v>
      </c>
    </row>
    <row r="9" customFormat="false" ht="14.25" hidden="false" customHeight="true" outlineLevel="0" collapsed="false">
      <c r="A9" s="16" t="s">
        <v>371</v>
      </c>
      <c r="B9" s="47" t="n">
        <f aca="false">Dépenses!B13</f>
        <v>0</v>
      </c>
      <c r="C9" s="47" t="n">
        <f aca="false">Dépenses!C13</f>
        <v>17345</v>
      </c>
      <c r="D9" s="47" t="n">
        <f aca="false">Dépenses!D13</f>
        <v>26915</v>
      </c>
      <c r="E9" s="47" t="n">
        <f aca="false">Dépenses!E13</f>
        <v>26915</v>
      </c>
      <c r="F9" s="48" t="n">
        <f aca="false">SUM(B9:E9)</f>
        <v>71175</v>
      </c>
    </row>
    <row r="10" customFormat="false" ht="14.25" hidden="false" customHeight="true" outlineLevel="0" collapsed="false">
      <c r="A10" s="16" t="s">
        <v>372</v>
      </c>
      <c r="B10" s="47" t="n">
        <f aca="false">Dépenses!B17</f>
        <v>0</v>
      </c>
      <c r="C10" s="47" t="n">
        <f aca="false">Dépenses!C17</f>
        <v>7590</v>
      </c>
      <c r="D10" s="47" t="n">
        <f aca="false">Dépenses!D17</f>
        <v>10680</v>
      </c>
      <c r="E10" s="47" t="n">
        <f aca="false">Dépenses!E17</f>
        <v>10680</v>
      </c>
      <c r="F10" s="48" t="n">
        <f aca="false">SUM(B10:E10)</f>
        <v>28950</v>
      </c>
    </row>
    <row r="11" customFormat="false" ht="14.25" hidden="false" customHeight="true" outlineLevel="0" collapsed="false">
      <c r="A11" s="16" t="s">
        <v>373</v>
      </c>
      <c r="B11" s="47" t="n">
        <f aca="false">Dépenses!B21</f>
        <v>0</v>
      </c>
      <c r="C11" s="47" t="n">
        <f aca="false">Dépenses!C21</f>
        <v>1200</v>
      </c>
      <c r="D11" s="47" t="n">
        <f aca="false">Dépenses!D21</f>
        <v>1050</v>
      </c>
      <c r="E11" s="47" t="n">
        <f aca="false">Dépenses!E21</f>
        <v>1050</v>
      </c>
      <c r="F11" s="48" t="n">
        <f aca="false">SUM(B11:E11)</f>
        <v>3300</v>
      </c>
    </row>
    <row r="12" customFormat="false" ht="14.25" hidden="false" customHeight="true" outlineLevel="0" collapsed="false">
      <c r="A12" s="16" t="s">
        <v>374</v>
      </c>
      <c r="B12" s="47" t="n">
        <f aca="false">Dépenses!B30</f>
        <v>0</v>
      </c>
      <c r="C12" s="47" t="n">
        <f aca="false">Dépenses!C30</f>
        <v>7542</v>
      </c>
      <c r="D12" s="47" t="n">
        <f aca="false">Dépenses!D30</f>
        <v>10912</v>
      </c>
      <c r="E12" s="47" t="n">
        <f aca="false">Dépenses!E30</f>
        <v>21001</v>
      </c>
      <c r="F12" s="48" t="n">
        <f aca="false">SUM(B12:E12)</f>
        <v>39455</v>
      </c>
    </row>
    <row r="14" customFormat="false" ht="14.25" hidden="false" customHeight="true" outlineLevel="0" collapsed="false">
      <c r="A14" s="16" t="s">
        <v>375</v>
      </c>
      <c r="B14" s="47" t="n">
        <f aca="false">Ressources!B8</f>
        <v>0</v>
      </c>
      <c r="C14" s="47" t="n">
        <f aca="false">Ressources!C8</f>
        <v>32545.9792</v>
      </c>
      <c r="D14" s="47" t="n">
        <f aca="false">Ressources!D8</f>
        <v>58905.23168</v>
      </c>
      <c r="E14" s="47" t="n">
        <f aca="false">Ressources!E8</f>
        <v>59571.5704256</v>
      </c>
      <c r="F14" s="48" t="n">
        <f aca="false">SUM(B14:E14)</f>
        <v>151022.7813056</v>
      </c>
    </row>
    <row r="15" customFormat="false" ht="14.25" hidden="false" customHeight="true" outlineLevel="0" collapsed="false">
      <c r="A15" s="16" t="s">
        <v>376</v>
      </c>
      <c r="B15" s="47" t="n">
        <f aca="false">Ressources!B10+Ressources!B11</f>
        <v>0</v>
      </c>
      <c r="C15" s="47" t="n">
        <f aca="false">Ressources!C10+Ressources!C11</f>
        <v>7005.6</v>
      </c>
      <c r="D15" s="47" t="n">
        <f aca="false">Ressources!D10+Ressources!D11</f>
        <v>13122.8</v>
      </c>
      <c r="E15" s="47" t="n">
        <f aca="false">Ressources!E10+Ressources!E11</f>
        <v>13369.088</v>
      </c>
      <c r="F15" s="48" t="n">
        <f aca="false">SUM(B15:E15)</f>
        <v>33497.488</v>
      </c>
    </row>
    <row r="16" customFormat="false" ht="14.25" hidden="false" customHeight="true" outlineLevel="0" collapsed="false">
      <c r="A16" s="16" t="s">
        <v>377</v>
      </c>
      <c r="B16" s="47" t="n">
        <f aca="false">Ressources!B12+Ressources!B13</f>
        <v>0</v>
      </c>
      <c r="C16" s="47" t="n">
        <f aca="false">Ressources!C12+Ressources!C13</f>
        <v>7005.6</v>
      </c>
      <c r="D16" s="47" t="n">
        <f aca="false">Ressources!D12+Ressources!D13</f>
        <v>13122.8</v>
      </c>
      <c r="E16" s="47" t="n">
        <f aca="false">Ressources!E12+Ressources!E13</f>
        <v>13369.088</v>
      </c>
      <c r="F16" s="48" t="n">
        <f aca="false">SUM(B16:E16)</f>
        <v>33497.488</v>
      </c>
    </row>
    <row r="17" customFormat="false" ht="14.25" hidden="false" customHeight="true" outlineLevel="0" collapsed="false">
      <c r="A17" s="16" t="s">
        <v>378</v>
      </c>
      <c r="B17" s="47" t="n">
        <f aca="false">Ressources!B14</f>
        <v>0</v>
      </c>
      <c r="C17" s="47" t="n">
        <f aca="false">Ressources!C14</f>
        <v>15324.7508</v>
      </c>
      <c r="D17" s="47" t="n">
        <f aca="false">Ressources!D14</f>
        <v>22104.77832</v>
      </c>
      <c r="E17" s="47" t="n">
        <f aca="false">Ressources!E14</f>
        <v>32066.9691744</v>
      </c>
      <c r="F17" s="48" t="n">
        <f aca="false">SUM(B17:E17)</f>
        <v>69496.4982944</v>
      </c>
    </row>
    <row r="18" customFormat="false" ht="14.25" hidden="false" customHeight="true" outlineLevel="0" collapsed="false">
      <c r="A18" s="16" t="s">
        <v>379</v>
      </c>
      <c r="B18" s="47" t="n">
        <f aca="false">Ressources!B15</f>
        <v>0</v>
      </c>
      <c r="C18" s="47" t="n">
        <f aca="false">Ressources!C15</f>
        <v>625.07</v>
      </c>
      <c r="D18" s="47" t="n">
        <f aca="false">Ressources!D15</f>
        <v>1083.39</v>
      </c>
      <c r="E18" s="47" t="n">
        <f aca="false">Ressources!E15</f>
        <v>1195.7244</v>
      </c>
      <c r="F18" s="48" t="n">
        <f aca="false">SUM(B18:E18)</f>
        <v>2904.1844</v>
      </c>
    </row>
    <row r="19" customFormat="false" ht="14.25" hidden="false" customHeight="true" outlineLevel="0" collapsed="false"/>
    <row r="20" customFormat="false" ht="14.25" hidden="false" customHeight="true" outlineLevel="0" collapsed="false">
      <c r="A20" s="16" t="s">
        <v>380</v>
      </c>
      <c r="B20" s="53" t="n">
        <f aca="false">IFERROR(B14/B4,0)</f>
        <v>0</v>
      </c>
      <c r="C20" s="53" t="n">
        <f aca="false">IFERROR(C14/C4,0)</f>
        <v>0.52067735133665</v>
      </c>
      <c r="D20" s="53" t="n">
        <f aca="false">IFERROR(D14/D4,0)</f>
        <v>0.543712159794718</v>
      </c>
      <c r="E20" s="53" t="n">
        <f aca="false">IFERROR(E14/E4,0)</f>
        <v>0.498204857453774</v>
      </c>
      <c r="F20" s="54" t="n">
        <f aca="false">IFERROR(F14/F4,0)</f>
        <v>0.520017879393609</v>
      </c>
    </row>
    <row r="21" customFormat="false" ht="14.25" hidden="false" customHeight="true" outlineLevel="0" collapsed="false">
      <c r="A21" s="16" t="s">
        <v>381</v>
      </c>
      <c r="B21" s="53" t="n">
        <f aca="false">IFERROR(B8/B4,0)</f>
        <v>0</v>
      </c>
      <c r="C21" s="53" t="n">
        <f aca="false">IFERROR(C8/C4,0)</f>
        <v>0.461228342425648</v>
      </c>
      <c r="D21" s="53" t="n">
        <f aca="false">IFERROR(D8/D4,0)</f>
        <v>0.54257469609282</v>
      </c>
      <c r="E21" s="53" t="n">
        <f aca="false">IFERROR(E8/E4,0)</f>
        <v>0.501172678252614</v>
      </c>
      <c r="F21" s="54" t="n">
        <f aca="false">IFERROR(F8/F4,0)</f>
        <v>0.508020220754577</v>
      </c>
    </row>
    <row r="22" customFormat="false" ht="14.25" hidden="false" customHeight="true" outlineLevel="0" collapsed="false">
      <c r="A22" s="16" t="s">
        <v>382</v>
      </c>
      <c r="F22" s="48" t="n">
        <f aca="false">IFERROR(F4/3,0)</f>
        <v>96806.1466666667</v>
      </c>
    </row>
    <row r="23" customFormat="false" ht="14.25" hidden="false" customHeight="true" outlineLevel="0" collapsed="false">
      <c r="A23" s="16" t="s">
        <v>383</v>
      </c>
      <c r="B23" s="53" t="n">
        <f aca="false">IFERROR((B15+B17)/B4,0)</f>
        <v>0</v>
      </c>
      <c r="C23" s="53" t="n">
        <f aca="false">IFERROR((C15+C17)/C4,0)</f>
        <v>0.357245601292655</v>
      </c>
      <c r="D23" s="53" t="n">
        <f aca="false">IFERROR((D15+D17)/D4,0)</f>
        <v>0.325160637628186</v>
      </c>
      <c r="E23" s="53" t="n">
        <f aca="false">IFERROR((E15+E17)/E4,0)</f>
        <v>0.379987705983084</v>
      </c>
      <c r="F23" s="54" t="n">
        <f aca="false">IFERROR((F15+F17)/F4,0)</f>
        <v>0.354639968090181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I8" activeCellId="0" sqref="I8"/>
    </sheetView>
  </sheetViews>
  <sheetFormatPr defaultColWidth="8.6328125" defaultRowHeight="14.25" zeroHeight="false" outlineLevelRow="0" outlineLevelCol="0"/>
  <cols>
    <col collapsed="false" customWidth="true" hidden="false" outlineLevel="0" max="1" min="1" style="1" width="62"/>
    <col collapsed="false" customWidth="true" hidden="false" outlineLevel="0" max="6" min="2" style="1" width="13"/>
  </cols>
  <sheetData>
    <row r="1" customFormat="false" ht="18" hidden="false" customHeight="true" outlineLevel="0" collapsed="false">
      <c r="A1" s="11" t="s">
        <v>384</v>
      </c>
    </row>
    <row r="2" customFormat="false" ht="15" hidden="false" customHeight="true" outlineLevel="0" collapsed="false">
      <c r="A2" s="55" t="s">
        <v>385</v>
      </c>
    </row>
    <row r="3" customFormat="false" ht="15" hidden="false" customHeight="true" outlineLevel="0" collapsed="false">
      <c r="A3" s="18" t="s">
        <v>48</v>
      </c>
      <c r="B3" s="46" t="s">
        <v>49</v>
      </c>
      <c r="C3" s="46" t="s">
        <v>50</v>
      </c>
      <c r="D3" s="46" t="s">
        <v>51</v>
      </c>
      <c r="E3" s="46" t="s">
        <v>52</v>
      </c>
      <c r="F3" s="46" t="s">
        <v>313</v>
      </c>
    </row>
    <row r="4" customFormat="false" ht="15" hidden="false" customHeight="true" outlineLevel="0" collapsed="false">
      <c r="A4" s="36" t="s">
        <v>386</v>
      </c>
    </row>
    <row r="5" customFormat="false" ht="15" hidden="false" customHeight="true" outlineLevel="0" collapsed="false">
      <c r="A5" s="16" t="s">
        <v>387</v>
      </c>
      <c r="B5" s="47" t="n">
        <f aca="false">Dépenses!B39</f>
        <v>0</v>
      </c>
      <c r="C5" s="47" t="n">
        <f aca="false">Dépenses!C39</f>
        <v>17298</v>
      </c>
      <c r="D5" s="47" t="n">
        <f aca="false">Dépenses!D39</f>
        <v>35269.2</v>
      </c>
      <c r="E5" s="47" t="n">
        <f aca="false">Dépenses!E39</f>
        <v>35955.864</v>
      </c>
      <c r="F5" s="47" t="n">
        <f aca="false">SUM(B5:E5)</f>
        <v>88523.064</v>
      </c>
    </row>
    <row r="6" customFormat="false" ht="15" hidden="false" customHeight="true" outlineLevel="0" collapsed="false">
      <c r="A6" s="16" t="s">
        <v>388</v>
      </c>
      <c r="B6" s="56" t="n">
        <f aca="false">Hypothèses!$B$26</f>
        <v>0.15</v>
      </c>
      <c r="C6" s="56" t="n">
        <f aca="false">Hypothèses!$B$26</f>
        <v>0.15</v>
      </c>
      <c r="D6" s="56" t="n">
        <f aca="false">Hypothèses!$B$26</f>
        <v>0.15</v>
      </c>
      <c r="E6" s="56" t="n">
        <f aca="false">Hypothèses!$B$26</f>
        <v>0.15</v>
      </c>
    </row>
    <row r="7" customFormat="false" ht="15" hidden="false" customHeight="true" outlineLevel="0" collapsed="false">
      <c r="A7" s="33" t="s">
        <v>389</v>
      </c>
      <c r="B7" s="48" t="n">
        <f aca="false">Dépenses!B40</f>
        <v>0</v>
      </c>
      <c r="C7" s="48" t="n">
        <f aca="false">Dépenses!C40</f>
        <v>2594.7</v>
      </c>
      <c r="D7" s="48" t="n">
        <f aca="false">Dépenses!D40</f>
        <v>5290.38</v>
      </c>
      <c r="E7" s="48" t="n">
        <f aca="false">Dépenses!E40</f>
        <v>5393.3796</v>
      </c>
      <c r="F7" s="48" t="n">
        <f aca="false">SUM(B7:E7)</f>
        <v>13278.4596</v>
      </c>
    </row>
    <row r="8" customFormat="false" ht="15" hidden="false" customHeight="true" outlineLevel="0" collapsed="false">
      <c r="A8" s="16" t="s">
        <v>390</v>
      </c>
      <c r="B8" s="47" t="n">
        <f aca="false">B7*Hypothèses!$B$23</f>
        <v>0</v>
      </c>
      <c r="C8" s="47" t="n">
        <f aca="false">C7*Hypothèses!$B$23</f>
        <v>2075.76</v>
      </c>
      <c r="D8" s="47" t="n">
        <f aca="false">D7*Hypothèses!$B$23</f>
        <v>4232.304</v>
      </c>
      <c r="E8" s="47" t="n">
        <f aca="false">E7*Hypothèses!$B$23</f>
        <v>4314.70368</v>
      </c>
      <c r="F8" s="47" t="n">
        <f aca="false">SUM(B8:E8)</f>
        <v>10622.76768</v>
      </c>
    </row>
    <row r="9" customFormat="false" ht="15" hidden="false" customHeight="true" outlineLevel="0" collapsed="false">
      <c r="A9" s="36" t="s">
        <v>391</v>
      </c>
    </row>
    <row r="10" customFormat="false" ht="15" hidden="false" customHeight="true" outlineLevel="0" collapsed="false">
      <c r="A10" s="16" t="s">
        <v>392</v>
      </c>
      <c r="B10" s="47" t="n">
        <f aca="false">N(Hypothèses!B43)</f>
        <v>0</v>
      </c>
      <c r="C10" s="47" t="n">
        <f aca="false">N(Hypothèses!C43)</f>
        <v>230</v>
      </c>
      <c r="D10" s="47" t="n">
        <f aca="false">N(Hypothèses!D43)</f>
        <v>0</v>
      </c>
      <c r="E10" s="47" t="n">
        <f aca="false">N(Hypothèses!E43)</f>
        <v>0</v>
      </c>
      <c r="F10" s="47" t="n">
        <f aca="false">SUM(B10:E10)</f>
        <v>230</v>
      </c>
    </row>
    <row r="11" customFormat="false" ht="15" hidden="false" customHeight="true" outlineLevel="0" collapsed="false">
      <c r="A11" s="16" t="s">
        <v>393</v>
      </c>
      <c r="B11" s="47" t="n">
        <f aca="false">Hypothèses!B54</f>
        <v>0</v>
      </c>
      <c r="C11" s="47" t="n">
        <f aca="false">Hypothèses!C54</f>
        <v>15</v>
      </c>
      <c r="D11" s="47" t="n">
        <f aca="false">Hypothèses!D54</f>
        <v>15</v>
      </c>
      <c r="E11" s="47" t="n">
        <f aca="false">Hypothèses!E54</f>
        <v>15</v>
      </c>
      <c r="F11" s="47" t="n">
        <f aca="false">SUM(B11:E11)</f>
        <v>45</v>
      </c>
    </row>
    <row r="12" customFormat="false" ht="15" hidden="false" customHeight="true" outlineLevel="0" collapsed="false">
      <c r="A12" s="16" t="s">
        <v>394</v>
      </c>
      <c r="B12" s="47" t="n">
        <f aca="false">Hypothèses!B59</f>
        <v>0</v>
      </c>
      <c r="C12" s="47" t="n">
        <f aca="false">Hypothèses!C59</f>
        <v>100</v>
      </c>
      <c r="D12" s="47" t="n">
        <f aca="false">Hypothèses!D59</f>
        <v>100</v>
      </c>
      <c r="E12" s="47" t="n">
        <f aca="false">Hypothèses!E59</f>
        <v>100</v>
      </c>
      <c r="F12" s="47" t="n">
        <f aca="false">SUM(B12:E12)</f>
        <v>300</v>
      </c>
    </row>
    <row r="13" customFormat="false" ht="15" hidden="false" customHeight="true" outlineLevel="0" collapsed="false">
      <c r="A13" s="16" t="s">
        <v>395</v>
      </c>
      <c r="B13" s="47" t="n">
        <f aca="false">Dépenses!B24</f>
        <v>0</v>
      </c>
      <c r="C13" s="47" t="n">
        <f aca="false">Dépenses!C24</f>
        <v>1200</v>
      </c>
      <c r="D13" s="47" t="n">
        <f aca="false">Dépenses!D24</f>
        <v>1224</v>
      </c>
      <c r="E13" s="47" t="n">
        <f aca="false">Dépenses!E24</f>
        <v>1248</v>
      </c>
      <c r="F13" s="47" t="n">
        <f aca="false">SUM(B13:E13)</f>
        <v>3672</v>
      </c>
    </row>
    <row r="14" customFormat="false" ht="15" hidden="false" customHeight="true" outlineLevel="0" collapsed="false">
      <c r="A14" s="16" t="s">
        <v>396</v>
      </c>
      <c r="B14" s="47" t="n">
        <f aca="false">Dépenses!B25</f>
        <v>0</v>
      </c>
      <c r="C14" s="47" t="n">
        <f aca="false">Dépenses!C25</f>
        <v>700</v>
      </c>
      <c r="D14" s="47" t="n">
        <f aca="false">Dépenses!D25</f>
        <v>714</v>
      </c>
      <c r="E14" s="47" t="n">
        <f aca="false">Dépenses!E25</f>
        <v>728</v>
      </c>
      <c r="F14" s="47" t="n">
        <f aca="false">SUM(B14:E14)</f>
        <v>2142</v>
      </c>
    </row>
    <row r="15" customFormat="false" ht="15" hidden="false" customHeight="true" outlineLevel="0" collapsed="false">
      <c r="A15" s="16" t="s">
        <v>397</v>
      </c>
      <c r="B15" s="47" t="n">
        <f aca="false">Dépenses!B26</f>
        <v>0</v>
      </c>
      <c r="C15" s="47" t="n">
        <f aca="false">Dépenses!C26</f>
        <v>2148</v>
      </c>
      <c r="D15" s="47" t="n">
        <f aca="false">Dépenses!D26</f>
        <v>2852</v>
      </c>
      <c r="E15" s="47" t="n">
        <f aca="false">Dépenses!E26</f>
        <v>2909</v>
      </c>
      <c r="F15" s="47" t="n">
        <f aca="false">SUM(B15:E15)</f>
        <v>7909</v>
      </c>
    </row>
    <row r="16" customFormat="false" ht="15" hidden="false" customHeight="true" outlineLevel="0" collapsed="false">
      <c r="A16" s="16" t="s">
        <v>398</v>
      </c>
      <c r="B16" s="47" t="n">
        <f aca="false">Dépenses!B27</f>
        <v>0</v>
      </c>
      <c r="C16" s="47" t="n">
        <f aca="false">Dépenses!C27</f>
        <v>2550</v>
      </c>
      <c r="D16" s="47" t="n">
        <f aca="false">Dépenses!D27</f>
        <v>2450</v>
      </c>
      <c r="E16" s="47" t="n">
        <f aca="false">Dépenses!E27</f>
        <v>2450</v>
      </c>
      <c r="F16" s="47" t="n">
        <f aca="false">SUM(B16:E16)</f>
        <v>7450</v>
      </c>
    </row>
    <row r="17" customFormat="false" ht="15" hidden="false" customHeight="true" outlineLevel="0" collapsed="false">
      <c r="A17" s="16" t="s">
        <v>399</v>
      </c>
      <c r="B17" s="47" t="n">
        <f aca="false">Dépenses!B28</f>
        <v>0</v>
      </c>
      <c r="C17" s="47" t="n">
        <f aca="false">Dépenses!C28</f>
        <v>720</v>
      </c>
      <c r="D17" s="47" t="n">
        <f aca="false">Dépenses!D28</f>
        <v>722</v>
      </c>
      <c r="E17" s="47" t="n">
        <f aca="false">Dépenses!E28</f>
        <v>724</v>
      </c>
      <c r="F17" s="47" t="n">
        <f aca="false">SUM(B17:E17)</f>
        <v>2166</v>
      </c>
    </row>
    <row r="18" customFormat="false" ht="15" hidden="false" customHeight="true" outlineLevel="0" collapsed="false">
      <c r="A18" s="33" t="s">
        <v>400</v>
      </c>
      <c r="B18" s="48" t="n">
        <f aca="false">SUM(B10:B17)</f>
        <v>0</v>
      </c>
      <c r="C18" s="48" t="n">
        <f aca="false">SUM(C10:C17)</f>
        <v>7663</v>
      </c>
      <c r="D18" s="48" t="n">
        <f aca="false">SUM(D10:D17)</f>
        <v>8077</v>
      </c>
      <c r="E18" s="48" t="n">
        <f aca="false">SUM(E10:E17)</f>
        <v>8174</v>
      </c>
      <c r="F18" s="48" t="n">
        <f aca="false">SUM(B18:E18)</f>
        <v>23914</v>
      </c>
    </row>
    <row r="19" customFormat="false" ht="15" hidden="false" customHeight="true" outlineLevel="0" collapsed="false">
      <c r="A19" s="33" t="s">
        <v>401</v>
      </c>
      <c r="B19" s="48" t="n">
        <f aca="false">MIN(B7,B18)</f>
        <v>0</v>
      </c>
      <c r="C19" s="48" t="n">
        <f aca="false">MIN(C7,C18)</f>
        <v>2594.7</v>
      </c>
      <c r="D19" s="48" t="n">
        <f aca="false">MIN(D7,D18)</f>
        <v>5290.38</v>
      </c>
      <c r="E19" s="48" t="n">
        <f aca="false">MIN(E7,E18)</f>
        <v>5393.3796</v>
      </c>
      <c r="F19" s="48" t="n">
        <f aca="false">SUM(B19:E19)</f>
        <v>13278.4596</v>
      </c>
    </row>
    <row r="20" customFormat="false" ht="15" hidden="false" customHeight="true" outlineLevel="0" collapsed="false">
      <c r="A20" s="16" t="s">
        <v>402</v>
      </c>
      <c r="B20" s="47" t="n">
        <f aca="false">B18-B19</f>
        <v>0</v>
      </c>
      <c r="C20" s="47" t="n">
        <f aca="false">C18-C19</f>
        <v>5068.3</v>
      </c>
      <c r="D20" s="47" t="n">
        <f aca="false">D18-D19</f>
        <v>2786.62</v>
      </c>
      <c r="E20" s="47" t="n">
        <f aca="false">E18-E19</f>
        <v>2780.6204</v>
      </c>
      <c r="F20" s="47" t="n">
        <f aca="false">SUM(B20:E20)</f>
        <v>10635.5404</v>
      </c>
    </row>
    <row r="21" customFormat="false" ht="15" hidden="false" customHeight="true" outlineLevel="0" collapsed="false"/>
    <row r="22" customFormat="false" ht="15" hidden="false" customHeight="true" outlineLevel="0" collapsed="false">
      <c r="A22" s="36" t="s">
        <v>403</v>
      </c>
    </row>
    <row r="23" customFormat="false" ht="15" hidden="false" customHeight="true" outlineLevel="0" collapsed="false">
      <c r="A23" s="16" t="s">
        <v>388</v>
      </c>
      <c r="B23" s="56" t="n">
        <f aca="false">Hypothèses!$B$27</f>
        <v>0.063</v>
      </c>
      <c r="C23" s="56" t="n">
        <f aca="false">Hypothèses!$B$27</f>
        <v>0.063</v>
      </c>
      <c r="D23" s="56" t="n">
        <f aca="false">Hypothèses!$B$27</f>
        <v>0.063</v>
      </c>
      <c r="E23" s="56" t="n">
        <f aca="false">Hypothèses!$B$27</f>
        <v>0.063</v>
      </c>
      <c r="F23" s="56"/>
    </row>
    <row r="24" customFormat="false" ht="15" hidden="false" customHeight="true" outlineLevel="0" collapsed="false">
      <c r="A24" s="33" t="s">
        <v>404</v>
      </c>
      <c r="B24" s="48" t="n">
        <f aca="false">Dépenses!B42</f>
        <v>0</v>
      </c>
      <c r="C24" s="48" t="n">
        <f aca="false">Dépenses!C42</f>
        <v>1089.774</v>
      </c>
      <c r="D24" s="48" t="n">
        <f aca="false">Dépenses!D42</f>
        <v>2221.9596</v>
      </c>
      <c r="E24" s="48" t="n">
        <f aca="false">Dépenses!E42</f>
        <v>2265.219432</v>
      </c>
      <c r="F24" s="48" t="n">
        <f aca="false">SUM(B24:E24)</f>
        <v>5576.953032</v>
      </c>
      <c r="G24" s="1" t="s">
        <v>405</v>
      </c>
    </row>
    <row r="25" customFormat="false" ht="15" hidden="false" customHeight="true" outlineLevel="0" collapsed="false">
      <c r="A25" s="16" t="s">
        <v>390</v>
      </c>
      <c r="B25" s="47" t="n">
        <f aca="false">B24*Hypothèses!$B$23</f>
        <v>0</v>
      </c>
      <c r="C25" s="47" t="n">
        <f aca="false">C24*Hypothèses!$B$23</f>
        <v>871.8192</v>
      </c>
      <c r="D25" s="47" t="n">
        <f aca="false">D24*Hypothèses!$B$23</f>
        <v>1777.56768</v>
      </c>
      <c r="E25" s="47" t="n">
        <f aca="false">E24*Hypothèses!$B$23</f>
        <v>1812.1755456</v>
      </c>
      <c r="F25" s="47" t="n">
        <f aca="false">SUM(B25:E25)</f>
        <v>4461.5624256</v>
      </c>
    </row>
    <row r="26" customFormat="false" ht="15" hidden="false" customHeight="true" outlineLevel="0" collapsed="false">
      <c r="A26" s="33" t="s">
        <v>406</v>
      </c>
      <c r="B26" s="48" t="n">
        <f aca="false">Dépenses!B17-Hypothèses!B71-Hypothèses!B72</f>
        <v>0</v>
      </c>
      <c r="C26" s="48" t="n">
        <f aca="false">Dépenses!C17-Hypothèses!C71-Hypothèses!C72</f>
        <v>6090</v>
      </c>
      <c r="D26" s="48" t="n">
        <f aca="false">Dépenses!D17-Hypothèses!D71-Hypothèses!D72</f>
        <v>7680</v>
      </c>
      <c r="E26" s="48" t="n">
        <f aca="false">Dépenses!E17-Hypothèses!E71-Hypothèses!E72</f>
        <v>7680</v>
      </c>
      <c r="F26" s="48" t="n">
        <f aca="false">SUM(B26:E26)</f>
        <v>21450</v>
      </c>
      <c r="G26" s="1" t="s">
        <v>407</v>
      </c>
    </row>
    <row r="27" customFormat="false" ht="15" hidden="false" customHeight="true" outlineLevel="0" collapsed="false">
      <c r="A27" s="16" t="s">
        <v>408</v>
      </c>
      <c r="B27" s="47" t="n">
        <f aca="false">MIN(B24,B26)</f>
        <v>0</v>
      </c>
      <c r="C27" s="47" t="n">
        <f aca="false">MIN(C24,C26)</f>
        <v>1089.774</v>
      </c>
      <c r="D27" s="47" t="n">
        <f aca="false">MIN(D24,D26)</f>
        <v>2221.9596</v>
      </c>
      <c r="E27" s="47" t="n">
        <f aca="false">MIN(E24,E26)</f>
        <v>2265.219432</v>
      </c>
      <c r="F27" s="47" t="n">
        <f aca="false">SUM(B27:E27)</f>
        <v>5576.953032</v>
      </c>
    </row>
    <row r="28" customFormat="false" ht="15" hidden="false" customHeight="true" outlineLevel="0" collapsed="false">
      <c r="A28" s="16" t="s">
        <v>402</v>
      </c>
      <c r="B28" s="47" t="n">
        <f aca="false">B26-B27</f>
        <v>0</v>
      </c>
      <c r="C28" s="47" t="n">
        <f aca="false">C26-C27</f>
        <v>5000.226</v>
      </c>
      <c r="D28" s="47" t="n">
        <f aca="false">D26-D27</f>
        <v>5458.0404</v>
      </c>
      <c r="E28" s="47" t="n">
        <f aca="false">E26-E27</f>
        <v>5414.780568</v>
      </c>
      <c r="F28" s="47" t="n">
        <f aca="false">SUM(B28:E28)</f>
        <v>15873.046968</v>
      </c>
    </row>
    <row r="29" customFormat="false" ht="15" hidden="false" customHeight="true" outlineLevel="0" collapsed="false"/>
    <row r="30" customFormat="false" ht="15" hidden="false" customHeight="true" outlineLevel="0" collapsed="false">
      <c r="A30" s="36" t="s">
        <v>409</v>
      </c>
    </row>
    <row r="31" customFormat="false" ht="15" hidden="false" customHeight="true" outlineLevel="0" collapsed="false">
      <c r="A31" s="33" t="s">
        <v>410</v>
      </c>
      <c r="B31" s="48" t="n">
        <f aca="false">B18+B26</f>
        <v>0</v>
      </c>
      <c r="C31" s="48" t="n">
        <f aca="false">C18+C26</f>
        <v>13753</v>
      </c>
      <c r="D31" s="48" t="n">
        <f aca="false">D18+D26</f>
        <v>15757</v>
      </c>
      <c r="E31" s="48" t="n">
        <f aca="false">E18+E26</f>
        <v>15854</v>
      </c>
      <c r="F31" s="48" t="n">
        <f aca="false">SUM(B31:E31)</f>
        <v>45364</v>
      </c>
    </row>
    <row r="32" customFormat="false" ht="15" hidden="false" customHeight="true" outlineLevel="0" collapsed="false">
      <c r="A32" s="16" t="s">
        <v>411</v>
      </c>
      <c r="B32" s="47" t="n">
        <f aca="false">B19+B27</f>
        <v>0</v>
      </c>
      <c r="C32" s="47" t="n">
        <f aca="false">C19+C27</f>
        <v>3684.474</v>
      </c>
      <c r="D32" s="47" t="n">
        <f aca="false">D19+D27</f>
        <v>7512.3396</v>
      </c>
      <c r="E32" s="47" t="n">
        <f aca="false">E19+E27</f>
        <v>7658.599032</v>
      </c>
      <c r="F32" s="47" t="n">
        <f aca="false">SUM(B32:E32)</f>
        <v>18855.412632</v>
      </c>
    </row>
    <row r="33" customFormat="false" ht="15" hidden="false" customHeight="true" outlineLevel="0" collapsed="false">
      <c r="A33" s="16" t="s">
        <v>412</v>
      </c>
      <c r="B33" s="47" t="n">
        <f aca="false">B20+B28</f>
        <v>0</v>
      </c>
      <c r="C33" s="47" t="n">
        <f aca="false">C20+C28</f>
        <v>10068.526</v>
      </c>
      <c r="D33" s="47" t="n">
        <f aca="false">D20+D28</f>
        <v>8244.6604</v>
      </c>
      <c r="E33" s="47" t="n">
        <f aca="false">E20+E28</f>
        <v>8195.400968</v>
      </c>
      <c r="F33" s="47" t="n">
        <f aca="false">SUM(B33:E33)</f>
        <v>26508.587368</v>
      </c>
    </row>
    <row r="34" customFormat="false" ht="15" hidden="false" customHeight="true" outlineLevel="0" collapsed="false">
      <c r="A34" s="16" t="s">
        <v>413</v>
      </c>
      <c r="B34" s="56" t="n">
        <f aca="false">IFERROR(B32/B31,0)</f>
        <v>0</v>
      </c>
      <c r="C34" s="56" t="n">
        <f aca="false">IFERROR(C32/C31,0)</f>
        <v>0.267903293826801</v>
      </c>
      <c r="D34" s="56" t="n">
        <f aca="false">IFERROR(D32/D31,0)</f>
        <v>0.476762048613315</v>
      </c>
      <c r="E34" s="56" t="n">
        <f aca="false">IFERROR(E32/E31,0)</f>
        <v>0.483070457423994</v>
      </c>
      <c r="F34" s="56" t="n">
        <f aca="false">IFERROR(F32/F31,0)</f>
        <v>0.415647046821268</v>
      </c>
    </row>
    <row r="35" customFormat="false" ht="15" hidden="false" customHeight="true" outlineLevel="0" collapsed="false"/>
    <row r="36" customFormat="false" ht="15" hidden="false" customHeight="true" outlineLevel="0" collapsed="false">
      <c r="A36" s="36" t="s">
        <v>414</v>
      </c>
    </row>
    <row r="37" customFormat="false" ht="15" hidden="false" customHeight="true" outlineLevel="0" collapsed="false">
      <c r="A37" s="16" t="s">
        <v>415</v>
      </c>
      <c r="B37" s="57" t="str">
        <f aca="false">IF(ABS(B7-B5*B6)&lt;0.01,"ok","ERREUR")</f>
        <v>ok</v>
      </c>
      <c r="C37" s="57" t="str">
        <f aca="false">IF(ABS(C7-C5*C6)&lt;0.01,"ok","ERREUR")</f>
        <v>ok</v>
      </c>
      <c r="D37" s="57" t="str">
        <f aca="false">IF(ABS(D7-D5*D6)&lt;0.01,"ok","ERREUR")</f>
        <v>ok</v>
      </c>
      <c r="E37" s="57" t="str">
        <f aca="false">IF(ABS(E7-E5*E6)&lt;0.01,"ok","ERREUR")</f>
        <v>ok</v>
      </c>
      <c r="F37" s="57"/>
    </row>
    <row r="38" customFormat="false" ht="15" hidden="false" customHeight="true" outlineLevel="0" collapsed="false">
      <c r="A38" s="16" t="s">
        <v>416</v>
      </c>
      <c r="B38" s="57" t="str">
        <f aca="false">IF(ABS(B24-B5*B23)&lt;0.01,"ok","ERREUR")</f>
        <v>ok</v>
      </c>
      <c r="C38" s="57" t="str">
        <f aca="false">IF(ABS(C24-C5*C23)&lt;0.01,"ok","ERREUR")</f>
        <v>ok</v>
      </c>
      <c r="D38" s="57" t="str">
        <f aca="false">IF(ABS(D24-D5*D23)&lt;0.01,"ok","ERREUR")</f>
        <v>ok</v>
      </c>
      <c r="E38" s="57" t="str">
        <f aca="false">IF(ABS(E24-E5*E23)&lt;0.01,"ok","ERREUR")</f>
        <v>ok</v>
      </c>
      <c r="F38" s="57"/>
    </row>
    <row r="39" customFormat="false" ht="15" hidden="false" customHeight="true" outlineLevel="0" collapsed="false">
      <c r="A39" s="16" t="s">
        <v>417</v>
      </c>
      <c r="B39" s="57" t="str">
        <f aca="false">IF(B5&lt;=(Dépenses!B5+Dépenses!B6)*Hypothèses!$B$25+0.01,"ok","ERREUR")</f>
        <v>ok</v>
      </c>
      <c r="C39" s="57" t="str">
        <f aca="false">IF(C5&lt;=(Dépenses!C5+Dépenses!C6)*Hypothèses!$B$25+0.01,"ok","ERREUR")</f>
        <v>ok</v>
      </c>
      <c r="D39" s="57" t="str">
        <f aca="false">IF(D5&lt;=(Dépenses!D5+Dépenses!D6)*Hypothèses!$B$25+0.01,"ok","ERREUR")</f>
        <v>ok</v>
      </c>
      <c r="E39" s="57" t="str">
        <f aca="false">IF(E5&lt;=(Dépenses!E5+Dépenses!E6)*Hypothèses!$B$25+0.01,"ok","ERREUR")</f>
        <v>ok</v>
      </c>
      <c r="F39" s="57"/>
    </row>
    <row r="40" customFormat="false" ht="15" hidden="false" customHeight="true" outlineLevel="0" collapsed="false">
      <c r="A40" s="16" t="s">
        <v>418</v>
      </c>
      <c r="B40" s="57" t="str">
        <f aca="false">IF(ABS(Dépenses!B45-B5-B7-B24-(SUM(Hypothèses!B39:B42)+SUM(Hypothèses!B46:B48)+Hypothèses!B51+SUM(Hypothèses!B55:B58)+Hypothèses!B72+SUM(Hypothèses!B75:B78)+Hypothèses!B81))&lt;0.01,"ok","ERREUR")</f>
        <v>ok</v>
      </c>
      <c r="C40" s="57" t="str">
        <f aca="false">IF(ABS(Dépenses!C45-C5-C7-C24-(SUM(Hypothèses!C39:C42)+SUM(Hypothèses!C46:C48)+Hypothèses!C51+SUM(Hypothèses!C55:C58)+Hypothèses!C72+SUM(Hypothèses!C75:C78)+Hypothèses!C81))&lt;0.01,"ok","ERREUR")</f>
        <v>ok</v>
      </c>
      <c r="D40" s="57" t="str">
        <f aca="false">IF(ABS(Dépenses!D45-D5-D7-D24-(SUM(Hypothèses!D39:D42)+SUM(Hypothèses!D46:D48)+Hypothèses!D51+SUM(Hypothèses!D55:D58)+Hypothèses!D72+SUM(Hypothèses!D75:D78)+Hypothèses!D81))&lt;0.01,"ok","ERREUR")</f>
        <v>ok</v>
      </c>
      <c r="E40" s="57" t="str">
        <f aca="false">IF(ABS(Dépenses!E45-E5-E7-E24-(SUM(Hypothèses!E39:E42)+SUM(Hypothèses!E46:E48)+Hypothèses!E51+SUM(Hypothèses!E55:E58)+Hypothèses!E72+SUM(Hypothèses!E75:E78)+Hypothèses!E81))&lt;0.01,"ok","ERREUR")</f>
        <v>ok</v>
      </c>
      <c r="F40" s="57"/>
      <c r="G40" s="1" t="s">
        <v>419</v>
      </c>
    </row>
    <row r="41" customFormat="false" ht="15" hidden="false" customHeight="true" outlineLevel="0" collapsed="false">
      <c r="A41" s="33" t="s">
        <v>420</v>
      </c>
      <c r="B41" s="58" t="str">
        <f aca="false">IF(COUNTIF(B37:E40,"ok")=16,"ok","À REVOIR")</f>
        <v>ok</v>
      </c>
      <c r="C41" s="58"/>
      <c r="D41" s="58"/>
      <c r="E41" s="58"/>
      <c r="F41" s="5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7"/>
  <sheetViews>
    <sheetView showFormulas="false" showGridLines="true" showRowColHeaders="true" showZeros="true" rightToLeft="false" tabSelected="false" showOutlineSymbols="true" defaultGridColor="true" view="normal" topLeftCell="A1" colorId="64" zoomScale="83" zoomScaleNormal="83"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D17" activeCellId="0" sqref="D17"/>
    </sheetView>
  </sheetViews>
  <sheetFormatPr defaultColWidth="8.6328125" defaultRowHeight="14.25" zeroHeight="false" outlineLevelRow="0" outlineLevelCol="0"/>
  <cols>
    <col collapsed="false" customWidth="true" hidden="false" outlineLevel="0" max="1" min="1" style="1" width="60"/>
    <col collapsed="false" customWidth="true" hidden="false" outlineLevel="0" max="18" min="2" style="1" width="11"/>
    <col collapsed="false" customWidth="true" hidden="false" outlineLevel="0" max="22" min="19" style="1" width="13"/>
    <col collapsed="false" customWidth="true" hidden="false" outlineLevel="0" max="23" min="23" style="1" width="70"/>
  </cols>
  <sheetData>
    <row r="1" customFormat="false" ht="18" hidden="false" customHeight="true" outlineLevel="0" collapsed="false">
      <c r="A1" s="11" t="s">
        <v>421</v>
      </c>
    </row>
    <row r="2" customFormat="false" ht="15" hidden="false" customHeight="true" outlineLevel="0" collapsed="false">
      <c r="A2" s="15" t="s">
        <v>422</v>
      </c>
    </row>
    <row r="3" customFormat="false" ht="15" hidden="false" customHeight="true" outlineLevel="0" collapsed="false"/>
    <row r="4" customFormat="false" ht="15" hidden="false" customHeight="true" outlineLevel="0" collapsed="false">
      <c r="A4" s="36" t="s">
        <v>423</v>
      </c>
      <c r="B4" s="1" t="s">
        <v>59</v>
      </c>
    </row>
    <row r="5" customFormat="false" ht="15" hidden="false" customHeight="true" outlineLevel="0" collapsed="false">
      <c r="A5" s="16" t="s">
        <v>424</v>
      </c>
      <c r="B5" s="59" t="n">
        <v>8</v>
      </c>
      <c r="C5" s="15" t="s">
        <v>425</v>
      </c>
    </row>
    <row r="6" customFormat="false" ht="15" hidden="false" customHeight="true" outlineLevel="0" collapsed="false">
      <c r="A6" s="16" t="s">
        <v>426</v>
      </c>
      <c r="B6" s="60" t="n">
        <v>5000</v>
      </c>
      <c r="C6" s="15" t="s">
        <v>427</v>
      </c>
    </row>
    <row r="7" customFormat="false" ht="15" hidden="false" customHeight="true" outlineLevel="0" collapsed="false">
      <c r="A7" s="16" t="s">
        <v>428</v>
      </c>
      <c r="B7" s="56" t="n">
        <v>0.05</v>
      </c>
      <c r="C7" s="15" t="s">
        <v>429</v>
      </c>
    </row>
    <row r="8" customFormat="false" ht="15" hidden="false" customHeight="true" outlineLevel="0" collapsed="false">
      <c r="A8" s="16" t="s">
        <v>430</v>
      </c>
      <c r="B8" s="61" t="n">
        <v>0.8</v>
      </c>
      <c r="C8" s="15" t="s">
        <v>431</v>
      </c>
    </row>
    <row r="9" customFormat="false" ht="15" hidden="false" customHeight="true" outlineLevel="0" collapsed="false"/>
    <row r="10" customFormat="false" ht="15" hidden="false" customHeight="true" outlineLevel="0" collapsed="false">
      <c r="A10" s="18" t="s">
        <v>48</v>
      </c>
      <c r="B10" s="46" t="s">
        <v>432</v>
      </c>
      <c r="C10" s="46" t="s">
        <v>433</v>
      </c>
      <c r="D10" s="46" t="s">
        <v>434</v>
      </c>
      <c r="E10" s="46" t="s">
        <v>435</v>
      </c>
      <c r="F10" s="46" t="s">
        <v>436</v>
      </c>
      <c r="G10" s="46" t="s">
        <v>437</v>
      </c>
      <c r="H10" s="46" t="s">
        <v>438</v>
      </c>
      <c r="I10" s="46" t="s">
        <v>439</v>
      </c>
      <c r="J10" s="46" t="s">
        <v>440</v>
      </c>
      <c r="K10" s="46" t="s">
        <v>441</v>
      </c>
      <c r="L10" s="46" t="s">
        <v>442</v>
      </c>
      <c r="M10" s="46" t="s">
        <v>443</v>
      </c>
      <c r="N10" s="46" t="s">
        <v>444</v>
      </c>
      <c r="O10" s="46" t="s">
        <v>445</v>
      </c>
      <c r="P10" s="46" t="s">
        <v>446</v>
      </c>
      <c r="Q10" s="46" t="s">
        <v>447</v>
      </c>
      <c r="R10" s="46" t="s">
        <v>448</v>
      </c>
      <c r="S10" s="46" t="s">
        <v>449</v>
      </c>
      <c r="T10" s="46" t="s">
        <v>450</v>
      </c>
      <c r="U10" s="46" t="s">
        <v>451</v>
      </c>
      <c r="V10" s="46" t="s">
        <v>313</v>
      </c>
      <c r="W10" s="46" t="s">
        <v>452</v>
      </c>
    </row>
    <row r="11" customFormat="false" ht="15" hidden="false" customHeight="true" outlineLevel="0" collapsed="false">
      <c r="A11" s="36" t="s">
        <v>453</v>
      </c>
    </row>
    <row r="12" customFormat="false" ht="15" hidden="false" customHeight="true" outlineLevel="0" collapsed="false">
      <c r="A12" s="16" t="s">
        <v>454</v>
      </c>
      <c r="B12" s="47" t="n">
        <v>0</v>
      </c>
      <c r="C12" s="47" t="n">
        <v>0</v>
      </c>
      <c r="D12" s="47" t="n">
        <f aca="false">(Ressources!C10+Ressources!C11)/2</f>
        <v>3502.8</v>
      </c>
      <c r="E12" s="47" t="n">
        <f aca="false">(Ressources!C10+Ressources!C11)/2</f>
        <v>3502.8</v>
      </c>
      <c r="F12" s="47" t="n">
        <f aca="false">(Ressources!D10+Ressources!D11)/4</f>
        <v>3280.7</v>
      </c>
      <c r="G12" s="47" t="n">
        <f aca="false">(Ressources!D10+Ressources!D11)/4</f>
        <v>3280.7</v>
      </c>
      <c r="H12" s="47" t="n">
        <f aca="false">(Ressources!D10+Ressources!D11)/4</f>
        <v>3280.7</v>
      </c>
      <c r="I12" s="47" t="n">
        <f aca="false">(Ressources!D10+Ressources!D11)/4</f>
        <v>3280.7</v>
      </c>
      <c r="J12" s="47" t="n">
        <f aca="false">(Ressources!E10+Ressources!E11)/4</f>
        <v>3342.272</v>
      </c>
      <c r="K12" s="47" t="n">
        <f aca="false">(Ressources!E10+Ressources!E11)/4</f>
        <v>3342.272</v>
      </c>
      <c r="L12" s="47" t="n">
        <f aca="false">(Ressources!E10+Ressources!E11)/4</f>
        <v>3342.272</v>
      </c>
      <c r="M12" s="47" t="n">
        <f aca="false">(Ressources!E10+Ressources!E11)/4</f>
        <v>3342.272</v>
      </c>
      <c r="N12" s="47" t="n">
        <v>0</v>
      </c>
      <c r="O12" s="47" t="n">
        <v>0</v>
      </c>
      <c r="P12" s="47" t="n">
        <v>0</v>
      </c>
      <c r="Q12" s="47" t="n">
        <v>0</v>
      </c>
      <c r="R12" s="47" t="n">
        <v>0</v>
      </c>
      <c r="S12" s="47" t="n">
        <v>0</v>
      </c>
      <c r="T12" s="47" t="n">
        <v>0</v>
      </c>
      <c r="U12" s="47" t="n">
        <v>0</v>
      </c>
      <c r="V12" s="48" t="n">
        <f aca="false">SUM(B12:U12)</f>
        <v>33497.488</v>
      </c>
      <c r="W12" s="62" t="s">
        <v>455</v>
      </c>
    </row>
    <row r="13" customFormat="false" ht="15" hidden="false" customHeight="true" outlineLevel="0" collapsed="false">
      <c r="A13" s="16" t="s">
        <v>456</v>
      </c>
      <c r="B13" s="47" t="n">
        <v>0</v>
      </c>
      <c r="C13" s="47" t="n">
        <v>0</v>
      </c>
      <c r="D13" s="47" t="n">
        <f aca="false">(Ressources!C12+Ressources!C13)/2</f>
        <v>3502.8</v>
      </c>
      <c r="E13" s="47" t="n">
        <f aca="false">(Ressources!C12+Ressources!C13)/2</f>
        <v>3502.8</v>
      </c>
      <c r="F13" s="47" t="n">
        <f aca="false">(Ressources!D12+Ressources!D13)/4</f>
        <v>3280.7</v>
      </c>
      <c r="G13" s="47" t="n">
        <f aca="false">(Ressources!D12+Ressources!D13)/4</f>
        <v>3280.7</v>
      </c>
      <c r="H13" s="47" t="n">
        <f aca="false">(Ressources!D12+Ressources!D13)/4</f>
        <v>3280.7</v>
      </c>
      <c r="I13" s="47" t="n">
        <f aca="false">(Ressources!D12+Ressources!D13)/4</f>
        <v>3280.7</v>
      </c>
      <c r="J13" s="47" t="n">
        <f aca="false">(Ressources!E12+Ressources!E13)/4</f>
        <v>3342.272</v>
      </c>
      <c r="K13" s="47" t="n">
        <f aca="false">(Ressources!E12+Ressources!E13)/4</f>
        <v>3342.272</v>
      </c>
      <c r="L13" s="47" t="n">
        <f aca="false">(Ressources!E12+Ressources!E13)/4</f>
        <v>3342.272</v>
      </c>
      <c r="M13" s="47" t="n">
        <f aca="false">(Ressources!E12+Ressources!E13)/4</f>
        <v>3342.272</v>
      </c>
      <c r="N13" s="47" t="n">
        <v>0</v>
      </c>
      <c r="O13" s="47" t="n">
        <v>0</v>
      </c>
      <c r="P13" s="47" t="n">
        <v>0</v>
      </c>
      <c r="Q13" s="47" t="n">
        <v>0</v>
      </c>
      <c r="R13" s="47" t="n">
        <v>0</v>
      </c>
      <c r="S13" s="47" t="n">
        <v>0</v>
      </c>
      <c r="T13" s="47" t="n">
        <v>0</v>
      </c>
      <c r="U13" s="47" t="n">
        <v>0</v>
      </c>
      <c r="V13" s="48" t="n">
        <f aca="false">SUM(B13:U13)</f>
        <v>33497.488</v>
      </c>
      <c r="W13" s="62" t="s">
        <v>457</v>
      </c>
    </row>
    <row r="14" customFormat="false" ht="15" hidden="false" customHeight="true" outlineLevel="0" collapsed="false">
      <c r="A14" s="16" t="s">
        <v>458</v>
      </c>
      <c r="B14" s="47" t="n">
        <f aca="false">(Ressources!C14)/4</f>
        <v>3831.1877</v>
      </c>
      <c r="C14" s="47" t="n">
        <f aca="false">(Ressources!C14)/4</f>
        <v>3831.1877</v>
      </c>
      <c r="D14" s="47" t="n">
        <f aca="false">(Ressources!C14)/4</f>
        <v>3831.1877</v>
      </c>
      <c r="E14" s="47" t="n">
        <f aca="false">(Ressources!C14)/4</f>
        <v>3831.1877</v>
      </c>
      <c r="F14" s="47" t="n">
        <f aca="false">(Ressources!D14)/4</f>
        <v>5526.19458</v>
      </c>
      <c r="G14" s="47" t="n">
        <f aca="false">(Ressources!D14)/4</f>
        <v>5526.19458</v>
      </c>
      <c r="H14" s="47" t="n">
        <f aca="false">(Ressources!D14)/4</f>
        <v>5526.19458</v>
      </c>
      <c r="I14" s="47" t="n">
        <f aca="false">(Ressources!D14)/4</f>
        <v>5526.19458</v>
      </c>
      <c r="J14" s="47" t="n">
        <f aca="false">(Ressources!E14)/4</f>
        <v>8016.7422936</v>
      </c>
      <c r="K14" s="47" t="n">
        <f aca="false">(Ressources!E14)/4</f>
        <v>8016.7422936</v>
      </c>
      <c r="L14" s="47" t="n">
        <f aca="false">(Ressources!E14)/4</f>
        <v>8016.7422936</v>
      </c>
      <c r="M14" s="47" t="n">
        <f aca="false">(Ressources!E14)/4</f>
        <v>8016.7422936</v>
      </c>
      <c r="N14" s="47" t="n">
        <v>0</v>
      </c>
      <c r="O14" s="47" t="n">
        <v>0</v>
      </c>
      <c r="P14" s="47" t="n">
        <v>0</v>
      </c>
      <c r="Q14" s="47" t="n">
        <v>0</v>
      </c>
      <c r="R14" s="47" t="n">
        <v>0</v>
      </c>
      <c r="S14" s="47" t="n">
        <v>0</v>
      </c>
      <c r="T14" s="47" t="n">
        <v>0</v>
      </c>
      <c r="U14" s="47" t="n">
        <v>0</v>
      </c>
      <c r="V14" s="48" t="n">
        <f aca="false">SUM(B14:U14)</f>
        <v>69496.4982944</v>
      </c>
      <c r="W14" s="62" t="s">
        <v>459</v>
      </c>
    </row>
    <row r="15" customFormat="false" ht="15" hidden="false" customHeight="true" outlineLevel="0" collapsed="false">
      <c r="A15" s="16" t="s">
        <v>460</v>
      </c>
      <c r="B15" s="47" t="n">
        <f aca="false">Ressources!C15</f>
        <v>625.07</v>
      </c>
      <c r="C15" s="47" t="n">
        <v>0</v>
      </c>
      <c r="D15" s="47" t="n">
        <v>0</v>
      </c>
      <c r="E15" s="47" t="n">
        <v>0</v>
      </c>
      <c r="F15" s="47" t="n">
        <f aca="false">Ressources!D15</f>
        <v>1083.39</v>
      </c>
      <c r="G15" s="47" t="n">
        <v>0</v>
      </c>
      <c r="H15" s="47" t="n">
        <v>0</v>
      </c>
      <c r="I15" s="47" t="n">
        <v>0</v>
      </c>
      <c r="J15" s="47" t="n">
        <f aca="false">Ressources!E15</f>
        <v>1195.7244</v>
      </c>
      <c r="K15" s="47" t="n">
        <v>0</v>
      </c>
      <c r="L15" s="47" t="n">
        <v>0</v>
      </c>
      <c r="M15" s="47" t="n">
        <v>0</v>
      </c>
      <c r="N15" s="47" t="n">
        <v>0</v>
      </c>
      <c r="O15" s="47" t="n">
        <v>0</v>
      </c>
      <c r="P15" s="47" t="n">
        <v>0</v>
      </c>
      <c r="Q15" s="47" t="n">
        <v>0</v>
      </c>
      <c r="R15" s="47" t="n">
        <v>0</v>
      </c>
      <c r="S15" s="47" t="n">
        <v>0</v>
      </c>
      <c r="T15" s="47" t="n">
        <v>0</v>
      </c>
      <c r="U15" s="47" t="n">
        <v>0</v>
      </c>
      <c r="V15" s="48" t="n">
        <f aca="false">SUM(B15:U15)</f>
        <v>2904.1844</v>
      </c>
      <c r="W15" s="62" t="s">
        <v>461</v>
      </c>
    </row>
    <row r="16" customFormat="false" ht="15" hidden="false" customHeight="true" outlineLevel="0" collapsed="false">
      <c r="A16" s="16" t="s">
        <v>462</v>
      </c>
      <c r="B16" s="47" t="n">
        <f aca="true">IF(COLUMN()-COLUMN($B$36)&gt;=$B$5,OFFSET(B36,0,-$B$5),0)</f>
        <v>0</v>
      </c>
      <c r="C16" s="47" t="n">
        <f aca="true">IF(COLUMN()-COLUMN($B$36)&gt;=$B$5,OFFSET(C36,0,-$B$5),0)</f>
        <v>0</v>
      </c>
      <c r="D16" s="47" t="n">
        <f aca="true">IF(COLUMN()-COLUMN($B$36)&gt;=$B$5,OFFSET(D36,0,-$B$5),0)</f>
        <v>0</v>
      </c>
      <c r="E16" s="47" t="n">
        <f aca="true">IF(COLUMN()-COLUMN($B$36)&gt;=$B$5,OFFSET(E36,0,-$B$5),0)</f>
        <v>0</v>
      </c>
      <c r="F16" s="47" t="n">
        <f aca="true">IF(COLUMN()-COLUMN($B$36)&gt;=$B$5,OFFSET(F36,0,-$B$5),0)</f>
        <v>0</v>
      </c>
      <c r="G16" s="47" t="n">
        <f aca="true">IF(COLUMN()-COLUMN($B$36)&gt;=$B$5,OFFSET(G36,0,-$B$5),0)</f>
        <v>0</v>
      </c>
      <c r="H16" s="47" t="n">
        <f aca="true">IF(COLUMN()-COLUMN($B$36)&gt;=$B$5,OFFSET(H36,0,-$B$5),0)</f>
        <v>0</v>
      </c>
      <c r="I16" s="47" t="n">
        <f aca="true">IF(COLUMN()-COLUMN($B$36)&gt;=$B$5,OFFSET(I36,0,-$B$5),0)</f>
        <v>0</v>
      </c>
      <c r="J16" s="47" t="n">
        <f aca="true">IF(COLUMN()-COLUMN($B$36)&gt;=$B$5,OFFSET(J36,0,-$B$5),0)</f>
        <v>0</v>
      </c>
      <c r="K16" s="47" t="n">
        <f aca="true">IF(COLUMN()-COLUMN($B$36)&gt;=$B$5,OFFSET(K36,0,-$B$5),0)</f>
        <v>0</v>
      </c>
      <c r="L16" s="47" t="n">
        <f aca="true">IF(COLUMN()-COLUMN($B$36)&gt;=$B$5,OFFSET(L36,0,-$B$5),0)</f>
        <v>0</v>
      </c>
      <c r="M16" s="47" t="n">
        <f aca="true">IF(COLUMN()-COLUMN($B$36)&gt;=$B$5,OFFSET(M36,0,-$B$5),0)</f>
        <v>32545.9792</v>
      </c>
      <c r="N16" s="47" t="n">
        <f aca="true">IF(COLUMN()-COLUMN($B$36)&gt;=$B$5,OFFSET(N36,0,-$B$5),0)</f>
        <v>0</v>
      </c>
      <c r="O16" s="47" t="n">
        <f aca="true">IF(COLUMN()-COLUMN($B$36)&gt;=$B$5,OFFSET(O36,0,-$B$5),0)</f>
        <v>29452.61584</v>
      </c>
      <c r="P16" s="47" t="n">
        <f aca="true">IF(COLUMN()-COLUMN($B$36)&gt;=$B$5,OFFSET(P36,0,-$B$5),0)</f>
        <v>0</v>
      </c>
      <c r="Q16" s="47" t="n">
        <f aca="true">IF(COLUMN()-COLUMN($B$36)&gt;=$B$5,OFFSET(Q36,0,-$B$5),0)</f>
        <v>29452.61584</v>
      </c>
      <c r="R16" s="47" t="n">
        <f aca="true">IF(COLUMN()-COLUMN($B$36)&gt;=$B$5,OFFSET(R36,0,-$B$5),0)</f>
        <v>0</v>
      </c>
      <c r="S16" s="47" t="n">
        <f aca="true">IF(COLUMN()-COLUMN($B$36)&gt;=$B$5,OFFSET(S36,0,-$B$5),0)</f>
        <v>29785.7852128</v>
      </c>
      <c r="T16" s="47" t="n">
        <f aca="true">IF(COLUMN()-COLUMN($B$36)&gt;=$B$5,OFFSET(T36,0,-$B$5),0)</f>
        <v>0</v>
      </c>
      <c r="U16" s="47" t="n">
        <f aca="true">IF(COLUMN()-COLUMN($B$36)&gt;=$B$5,OFFSET(U36,0,-$B$5),0)</f>
        <v>29785.7852128</v>
      </c>
      <c r="V16" s="48" t="n">
        <f aca="false">SUM(B16:U16)</f>
        <v>151022.7813056</v>
      </c>
      <c r="W16" s="62" t="s">
        <v>463</v>
      </c>
    </row>
    <row r="17" customFormat="false" ht="15" hidden="false" customHeight="true" outlineLevel="0" collapsed="false">
      <c r="A17" s="33" t="s">
        <v>464</v>
      </c>
      <c r="B17" s="48" t="n">
        <f aca="false">SUM(B12:B16)</f>
        <v>4456.2577</v>
      </c>
      <c r="C17" s="48" t="n">
        <f aca="false">SUM(C12:C16)</f>
        <v>3831.1877</v>
      </c>
      <c r="D17" s="48" t="n">
        <f aca="false">SUM(D12:D16)</f>
        <v>10836.7877</v>
      </c>
      <c r="E17" s="48" t="n">
        <f aca="false">SUM(E12:E16)</f>
        <v>10836.7877</v>
      </c>
      <c r="F17" s="48" t="n">
        <f aca="false">SUM(F12:F16)</f>
        <v>13170.98458</v>
      </c>
      <c r="G17" s="48" t="n">
        <f aca="false">SUM(G12:G16)</f>
        <v>12087.59458</v>
      </c>
      <c r="H17" s="48" t="n">
        <f aca="false">SUM(H12:H16)</f>
        <v>12087.59458</v>
      </c>
      <c r="I17" s="48" t="n">
        <f aca="false">SUM(I12:I16)</f>
        <v>12087.59458</v>
      </c>
      <c r="J17" s="48" t="n">
        <f aca="false">SUM(J12:J16)</f>
        <v>15897.0106936</v>
      </c>
      <c r="K17" s="48" t="n">
        <f aca="false">SUM(K12:K16)</f>
        <v>14701.2862936</v>
      </c>
      <c r="L17" s="48" t="n">
        <f aca="false">SUM(L12:L16)</f>
        <v>14701.2862936</v>
      </c>
      <c r="M17" s="48" t="n">
        <f aca="false">SUM(M12:M16)</f>
        <v>47247.2654936</v>
      </c>
      <c r="N17" s="48" t="n">
        <f aca="false">SUM(N12:N16)</f>
        <v>0</v>
      </c>
      <c r="O17" s="48" t="n">
        <f aca="false">SUM(O12:O16)</f>
        <v>29452.61584</v>
      </c>
      <c r="P17" s="48" t="n">
        <f aca="false">SUM(P12:P16)</f>
        <v>0</v>
      </c>
      <c r="Q17" s="48" t="n">
        <f aca="false">SUM(Q12:Q16)</f>
        <v>29452.61584</v>
      </c>
      <c r="R17" s="48" t="n">
        <f aca="false">SUM(R12:R16)</f>
        <v>0</v>
      </c>
      <c r="S17" s="48" t="n">
        <f aca="false">SUM(S12:S16)</f>
        <v>29785.7852128</v>
      </c>
      <c r="T17" s="48" t="n">
        <f aca="false">SUM(T12:T16)</f>
        <v>0</v>
      </c>
      <c r="U17" s="48" t="n">
        <f aca="false">SUM(U12:U16)</f>
        <v>29785.7852128</v>
      </c>
      <c r="V17" s="48" t="n">
        <f aca="false">SUM(B17:U17)</f>
        <v>290418.44</v>
      </c>
    </row>
    <row r="18" customFormat="false" ht="15" hidden="false" customHeight="true" outlineLevel="0" collapsed="false">
      <c r="A18" s="36" t="s">
        <v>465</v>
      </c>
    </row>
    <row r="19" customFormat="false" ht="15" hidden="false" customHeight="true" outlineLevel="0" collapsed="false">
      <c r="A19" s="16" t="s">
        <v>466</v>
      </c>
      <c r="B19" s="47" t="n">
        <v>0</v>
      </c>
      <c r="C19" s="47" t="n">
        <v>0</v>
      </c>
      <c r="D19" s="47" t="n">
        <f aca="false">(Dépenses!C7)/2</f>
        <v>14415</v>
      </c>
      <c r="E19" s="47" t="n">
        <f aca="false">(Dépenses!C7)/2</f>
        <v>14415</v>
      </c>
      <c r="F19" s="47" t="n">
        <f aca="false">(Dépenses!D7)/4</f>
        <v>14695.5</v>
      </c>
      <c r="G19" s="47" t="n">
        <f aca="false">(Dépenses!D7)/4</f>
        <v>14695.5</v>
      </c>
      <c r="H19" s="47" t="n">
        <f aca="false">(Dépenses!D7)/4</f>
        <v>14695.5</v>
      </c>
      <c r="I19" s="47" t="n">
        <f aca="false">(Dépenses!D7)/4</f>
        <v>14695.5</v>
      </c>
      <c r="J19" s="47" t="n">
        <f aca="false">(Dépenses!E7)/4</f>
        <v>14981.61</v>
      </c>
      <c r="K19" s="47" t="n">
        <f aca="false">(Dépenses!E7)/4</f>
        <v>14981.61</v>
      </c>
      <c r="L19" s="47" t="n">
        <f aca="false">(Dépenses!E7)/4</f>
        <v>14981.61</v>
      </c>
      <c r="M19" s="47" t="n">
        <f aca="false">(Dépenses!E7)/4</f>
        <v>14981.61</v>
      </c>
      <c r="N19" s="47" t="n">
        <v>0</v>
      </c>
      <c r="O19" s="47" t="n">
        <v>0</v>
      </c>
      <c r="P19" s="47" t="n">
        <v>0</v>
      </c>
      <c r="Q19" s="47" t="n">
        <v>0</v>
      </c>
      <c r="R19" s="47" t="n">
        <v>0</v>
      </c>
      <c r="S19" s="47" t="n">
        <v>0</v>
      </c>
      <c r="T19" s="47" t="n">
        <v>0</v>
      </c>
      <c r="U19" s="47" t="n">
        <v>0</v>
      </c>
      <c r="V19" s="48" t="n">
        <f aca="false">SUM(B19:U19)</f>
        <v>147538.44</v>
      </c>
      <c r="W19" s="62" t="s">
        <v>467</v>
      </c>
    </row>
    <row r="20" customFormat="false" ht="15" hidden="false" customHeight="true" outlineLevel="0" collapsed="false">
      <c r="A20" s="16" t="s">
        <v>468</v>
      </c>
      <c r="B20" s="47" t="n">
        <f aca="false">N(Hypothèses!C43)</f>
        <v>230</v>
      </c>
      <c r="C20" s="47" t="n">
        <v>0</v>
      </c>
      <c r="D20" s="47" t="n">
        <f aca="false">(Dépenses!C13-N(Hypothèses!C43))/2</f>
        <v>8557.5</v>
      </c>
      <c r="E20" s="47" t="n">
        <f aca="false">(Dépenses!C13-N(Hypothèses!C43))/2</f>
        <v>8557.5</v>
      </c>
      <c r="F20" s="47" t="n">
        <f aca="false">(Dépenses!D13)/4</f>
        <v>6728.75</v>
      </c>
      <c r="G20" s="47" t="n">
        <f aca="false">(Dépenses!D13)/4</f>
        <v>6728.75</v>
      </c>
      <c r="H20" s="47" t="n">
        <f aca="false">(Dépenses!D13)/4</f>
        <v>6728.75</v>
      </c>
      <c r="I20" s="47" t="n">
        <f aca="false">(Dépenses!D13)/4</f>
        <v>6728.75</v>
      </c>
      <c r="J20" s="47" t="n">
        <f aca="false">(Dépenses!E13)/4</f>
        <v>6728.75</v>
      </c>
      <c r="K20" s="47" t="n">
        <f aca="false">(Dépenses!E13)/4</f>
        <v>6728.75</v>
      </c>
      <c r="L20" s="47" t="n">
        <f aca="false">(Dépenses!E13)/4</f>
        <v>6728.75</v>
      </c>
      <c r="M20" s="47" t="n">
        <f aca="false">(Dépenses!E13)/4</f>
        <v>6728.75</v>
      </c>
      <c r="N20" s="47" t="n">
        <v>0</v>
      </c>
      <c r="O20" s="47" t="n">
        <v>0</v>
      </c>
      <c r="P20" s="47" t="n">
        <v>0</v>
      </c>
      <c r="Q20" s="47" t="n">
        <v>0</v>
      </c>
      <c r="R20" s="47" t="n">
        <v>0</v>
      </c>
      <c r="S20" s="47" t="n">
        <v>0</v>
      </c>
      <c r="T20" s="47" t="n">
        <v>0</v>
      </c>
      <c r="U20" s="47" t="n">
        <v>0</v>
      </c>
      <c r="V20" s="48" t="n">
        <f aca="false">SUM(B20:U20)</f>
        <v>71175</v>
      </c>
      <c r="W20" s="62" t="s">
        <v>469</v>
      </c>
    </row>
    <row r="21" customFormat="false" ht="15" hidden="false" customHeight="true" outlineLevel="0" collapsed="false">
      <c r="A21" s="16" t="s">
        <v>470</v>
      </c>
      <c r="B21" s="47" t="n">
        <v>0</v>
      </c>
      <c r="C21" s="47" t="n">
        <v>0</v>
      </c>
      <c r="D21" s="47" t="n">
        <f aca="false">(Dépenses!C17)/2</f>
        <v>3795</v>
      </c>
      <c r="E21" s="47" t="n">
        <f aca="false">(Dépenses!C17)/2</f>
        <v>3795</v>
      </c>
      <c r="F21" s="47" t="n">
        <f aca="false">(Dépenses!D17)/4</f>
        <v>2670</v>
      </c>
      <c r="G21" s="47" t="n">
        <f aca="false">(Dépenses!D17)/4</f>
        <v>2670</v>
      </c>
      <c r="H21" s="47" t="n">
        <f aca="false">(Dépenses!D17)/4</f>
        <v>2670</v>
      </c>
      <c r="I21" s="47" t="n">
        <f aca="false">(Dépenses!D17)/4</f>
        <v>2670</v>
      </c>
      <c r="J21" s="47" t="n">
        <f aca="false">(Dépenses!E17)/4</f>
        <v>2670</v>
      </c>
      <c r="K21" s="47" t="n">
        <f aca="false">(Dépenses!E17)/4</f>
        <v>2670</v>
      </c>
      <c r="L21" s="47" t="n">
        <f aca="false">(Dépenses!E17)/4</f>
        <v>2670</v>
      </c>
      <c r="M21" s="47" t="n">
        <f aca="false">(Dépenses!E17)/4</f>
        <v>2670</v>
      </c>
      <c r="N21" s="47" t="n">
        <v>0</v>
      </c>
      <c r="O21" s="47" t="n">
        <v>0</v>
      </c>
      <c r="P21" s="47" t="n">
        <v>0</v>
      </c>
      <c r="Q21" s="47" t="n">
        <v>0</v>
      </c>
      <c r="R21" s="47" t="n">
        <v>0</v>
      </c>
      <c r="S21" s="47" t="n">
        <v>0</v>
      </c>
      <c r="T21" s="47" t="n">
        <v>0</v>
      </c>
      <c r="U21" s="47" t="n">
        <v>0</v>
      </c>
      <c r="V21" s="48" t="n">
        <f aca="false">SUM(B21:U21)</f>
        <v>28950</v>
      </c>
    </row>
    <row r="22" customFormat="false" ht="15" hidden="false" customHeight="true" outlineLevel="0" collapsed="false">
      <c r="A22" s="16" t="s">
        <v>471</v>
      </c>
      <c r="B22" s="47" t="n">
        <v>0</v>
      </c>
      <c r="C22" s="47" t="n">
        <v>0</v>
      </c>
      <c r="D22" s="47" t="n">
        <f aca="false">(Dépenses!C21)/2</f>
        <v>600</v>
      </c>
      <c r="E22" s="47" t="n">
        <f aca="false">(Dépenses!C21)/2</f>
        <v>600</v>
      </c>
      <c r="F22" s="47" t="n">
        <f aca="false">(Dépenses!D21)/4</f>
        <v>262.5</v>
      </c>
      <c r="G22" s="47" t="n">
        <f aca="false">(Dépenses!D21)/4</f>
        <v>262.5</v>
      </c>
      <c r="H22" s="47" t="n">
        <f aca="false">(Dépenses!D21)/4</f>
        <v>262.5</v>
      </c>
      <c r="I22" s="47" t="n">
        <f aca="false">(Dépenses!D21)/4</f>
        <v>262.5</v>
      </c>
      <c r="J22" s="47" t="n">
        <f aca="false">(Dépenses!E21)/4</f>
        <v>262.5</v>
      </c>
      <c r="K22" s="47" t="n">
        <f aca="false">(Dépenses!E21)/4</f>
        <v>262.5</v>
      </c>
      <c r="L22" s="47" t="n">
        <f aca="false">(Dépenses!E21)/4</f>
        <v>262.5</v>
      </c>
      <c r="M22" s="47" t="n">
        <f aca="false">(Dépenses!E21)/4</f>
        <v>262.5</v>
      </c>
      <c r="N22" s="47" t="n">
        <v>0</v>
      </c>
      <c r="O22" s="47" t="n">
        <v>0</v>
      </c>
      <c r="P22" s="47" t="n">
        <v>0</v>
      </c>
      <c r="Q22" s="47" t="n">
        <v>0</v>
      </c>
      <c r="R22" s="47" t="n">
        <v>0</v>
      </c>
      <c r="S22" s="47" t="n">
        <v>0</v>
      </c>
      <c r="T22" s="47" t="n">
        <v>0</v>
      </c>
      <c r="U22" s="47" t="n">
        <v>0</v>
      </c>
      <c r="V22" s="48" t="n">
        <f aca="false">SUM(B22:U22)</f>
        <v>3300</v>
      </c>
    </row>
    <row r="23" customFormat="false" ht="15" hidden="false" customHeight="true" outlineLevel="0" collapsed="false">
      <c r="A23" s="16" t="s">
        <v>472</v>
      </c>
      <c r="B23" s="47" t="n">
        <v>0</v>
      </c>
      <c r="C23" s="47" t="n">
        <v>0</v>
      </c>
      <c r="D23" s="47" t="n">
        <f aca="false">(Dépenses!C30-Dépenses!C29)/2</f>
        <v>3659</v>
      </c>
      <c r="E23" s="47" t="n">
        <f aca="false">(Dépenses!C30-Dépenses!C29)/2</f>
        <v>3659</v>
      </c>
      <c r="F23" s="47" t="n">
        <f aca="false">(Dépenses!D30-Dépenses!D29)/4</f>
        <v>1990.5</v>
      </c>
      <c r="G23" s="47" t="n">
        <f aca="false">(Dépenses!D30-Dépenses!D29)/4</f>
        <v>1990.5</v>
      </c>
      <c r="H23" s="47" t="n">
        <f aca="false">(Dépenses!D30-Dépenses!D29)/4</f>
        <v>1990.5</v>
      </c>
      <c r="I23" s="47" t="n">
        <f aca="false">(Dépenses!D30-Dépenses!D29)/4</f>
        <v>1990.5</v>
      </c>
      <c r="J23" s="47" t="n">
        <f aca="false">(Dépenses!E30-Dépenses!E29)/4</f>
        <v>2014.75</v>
      </c>
      <c r="K23" s="47" t="n">
        <f aca="false">(Dépenses!E30-Dépenses!E29)/4</f>
        <v>2014.75</v>
      </c>
      <c r="L23" s="47" t="n">
        <f aca="false">(Dépenses!E30-Dépenses!E29)/4</f>
        <v>2014.75</v>
      </c>
      <c r="M23" s="47" t="n">
        <f aca="false">(Dépenses!E30-Dépenses!E29)/4</f>
        <v>2014.75</v>
      </c>
      <c r="N23" s="47" t="n">
        <v>0</v>
      </c>
      <c r="O23" s="47" t="n">
        <v>0</v>
      </c>
      <c r="P23" s="47" t="n">
        <v>0</v>
      </c>
      <c r="Q23" s="47" t="n">
        <v>0</v>
      </c>
      <c r="R23" s="47" t="n">
        <v>0</v>
      </c>
      <c r="S23" s="47" t="n">
        <v>0</v>
      </c>
      <c r="T23" s="47" t="n">
        <v>0</v>
      </c>
      <c r="U23" s="47" t="n">
        <v>0</v>
      </c>
      <c r="V23" s="48" t="n">
        <f aca="false">SUM(B23:U23)</f>
        <v>23339</v>
      </c>
    </row>
    <row r="24" customFormat="false" ht="15" hidden="false" customHeight="true" outlineLevel="0" collapsed="false">
      <c r="A24" s="16" t="s">
        <v>473</v>
      </c>
      <c r="B24" s="47" t="n">
        <f aca="false">0</f>
        <v>0</v>
      </c>
      <c r="C24" s="47" t="n">
        <f aca="false">B32*$B$7/4</f>
        <v>9.67177875</v>
      </c>
      <c r="D24" s="47" t="n">
        <f aca="false">C32*$B$7/4</f>
        <v>0</v>
      </c>
      <c r="E24" s="47" t="n">
        <f aca="false">D32*$B$7/4</f>
        <v>214.274233484375</v>
      </c>
      <c r="F24" s="47" t="n">
        <f aca="false">E32*$B$7/4</f>
        <v>469.32406515293</v>
      </c>
      <c r="G24" s="47" t="n">
        <f aca="false">F32*$B$7/4</f>
        <v>639.893933717341</v>
      </c>
      <c r="H24" s="47" t="n">
        <f aca="false">G32*$B$7/4</f>
        <v>826.138300638808</v>
      </c>
      <c r="I24" s="47" t="n">
        <f aca="false">H32*$B$7/4</f>
        <v>1014.71072214679</v>
      </c>
      <c r="J24" s="47" t="n">
        <f aca="false">I32*$B$7/4</f>
        <v>1205.64029892363</v>
      </c>
      <c r="K24" s="47" t="n">
        <f aca="false">J32*$B$7/4</f>
        <v>1355.21829399017</v>
      </c>
      <c r="L24" s="47" t="n">
        <f aca="false">K32*$B$7/4</f>
        <v>1521.61256899505</v>
      </c>
      <c r="M24" s="47" t="n">
        <f aca="false">L32*$B$7/4</f>
        <v>1690.08677243749</v>
      </c>
      <c r="N24" s="47" t="n">
        <f aca="false">M32*$B$7/4</f>
        <v>1453.84216342296</v>
      </c>
      <c r="O24" s="47" t="n">
        <f aca="false">N32*$B$7/4</f>
        <v>1409.51519046574</v>
      </c>
      <c r="P24" s="47" t="n">
        <f aca="false">O32*$B$7/4</f>
        <v>1058.97643234657</v>
      </c>
      <c r="Q24" s="47" t="n">
        <f aca="false">P32*$B$7/4</f>
        <v>1072.2136377509</v>
      </c>
      <c r="R24" s="47" t="n">
        <f aca="false">Q32*$B$7/4</f>
        <v>717.458610222784</v>
      </c>
      <c r="S24" s="47" t="n">
        <f aca="false">R32*$B$7/4</f>
        <v>726.426842850569</v>
      </c>
      <c r="T24" s="47" t="n">
        <f aca="false">S32*$B$7/4</f>
        <v>363.184863226201</v>
      </c>
      <c r="U24" s="47" t="n">
        <f aca="false">T32*$B$7/4</f>
        <v>367.724674016529</v>
      </c>
      <c r="V24" s="48" t="n">
        <f aca="false">SUM(B24:U24)</f>
        <v>16115.9133825388</v>
      </c>
      <c r="W24" s="62" t="s">
        <v>474</v>
      </c>
    </row>
    <row r="25" customFormat="false" ht="15" hidden="false" customHeight="true" outlineLevel="0" collapsed="false">
      <c r="A25" s="33" t="s">
        <v>475</v>
      </c>
      <c r="B25" s="48" t="n">
        <f aca="false">SUM(B19:B24)</f>
        <v>230</v>
      </c>
      <c r="C25" s="48" t="n">
        <f aca="false">SUM(C19:C24)</f>
        <v>9.67177875</v>
      </c>
      <c r="D25" s="48" t="n">
        <f aca="false">SUM(D19:D24)</f>
        <v>31026.5</v>
      </c>
      <c r="E25" s="48" t="n">
        <f aca="false">SUM(E19:E24)</f>
        <v>31240.7742334844</v>
      </c>
      <c r="F25" s="48" t="n">
        <f aca="false">SUM(F19:F24)</f>
        <v>26816.5740651529</v>
      </c>
      <c r="G25" s="48" t="n">
        <f aca="false">SUM(G19:G24)</f>
        <v>26987.1439337173</v>
      </c>
      <c r="H25" s="48" t="n">
        <f aca="false">SUM(H19:H24)</f>
        <v>27173.3883006388</v>
      </c>
      <c r="I25" s="48" t="n">
        <f aca="false">SUM(I19:I24)</f>
        <v>27361.9607221468</v>
      </c>
      <c r="J25" s="48" t="n">
        <f aca="false">SUM(J19:J24)</f>
        <v>27863.2502989236</v>
      </c>
      <c r="K25" s="48" t="n">
        <f aca="false">SUM(K19:K24)</f>
        <v>28012.8282939902</v>
      </c>
      <c r="L25" s="48" t="n">
        <f aca="false">SUM(L19:L24)</f>
        <v>28179.2225689951</v>
      </c>
      <c r="M25" s="48" t="n">
        <f aca="false">SUM(M19:M24)</f>
        <v>28347.6967724375</v>
      </c>
      <c r="N25" s="48" t="n">
        <f aca="false">SUM(N19:N24)</f>
        <v>1453.84216342296</v>
      </c>
      <c r="O25" s="48" t="n">
        <f aca="false">SUM(O19:O24)</f>
        <v>1409.51519046574</v>
      </c>
      <c r="P25" s="48" t="n">
        <f aca="false">SUM(P19:P24)</f>
        <v>1058.97643234657</v>
      </c>
      <c r="Q25" s="48" t="n">
        <f aca="false">SUM(Q19:Q24)</f>
        <v>1072.2136377509</v>
      </c>
      <c r="R25" s="48" t="n">
        <f aca="false">SUM(R19:R24)</f>
        <v>717.458610222784</v>
      </c>
      <c r="S25" s="48" t="n">
        <f aca="false">SUM(S19:S24)</f>
        <v>726.426842850569</v>
      </c>
      <c r="T25" s="48" t="n">
        <f aca="false">SUM(T19:T24)</f>
        <v>363.184863226201</v>
      </c>
      <c r="U25" s="48" t="n">
        <f aca="false">SUM(U19:U24)</f>
        <v>367.724674016529</v>
      </c>
      <c r="V25" s="48" t="n">
        <f aca="false">SUM(B25:U25)</f>
        <v>290418.353382539</v>
      </c>
    </row>
    <row r="26" customFormat="false" ht="15" hidden="false" customHeight="true" outlineLevel="0" collapsed="false"/>
    <row r="27" customFormat="false" ht="15" hidden="false" customHeight="true" outlineLevel="0" collapsed="false">
      <c r="A27" s="33" t="s">
        <v>476</v>
      </c>
      <c r="B27" s="48" t="n">
        <f aca="false">B17-B25</f>
        <v>4226.2577</v>
      </c>
      <c r="C27" s="48" t="n">
        <f aca="false">C17-C25</f>
        <v>3821.51592125</v>
      </c>
      <c r="D27" s="48" t="n">
        <f aca="false">D17-D25</f>
        <v>-20189.7123</v>
      </c>
      <c r="E27" s="48" t="n">
        <f aca="false">E17-E25</f>
        <v>-20403.9865334844</v>
      </c>
      <c r="F27" s="48" t="n">
        <f aca="false">F17-F25</f>
        <v>-13645.5894851529</v>
      </c>
      <c r="G27" s="48" t="n">
        <f aca="false">G17-G25</f>
        <v>-14899.5493537173</v>
      </c>
      <c r="H27" s="48" t="n">
        <f aca="false">H17-H25</f>
        <v>-15085.7937206388</v>
      </c>
      <c r="I27" s="48" t="n">
        <f aca="false">I17-I25</f>
        <v>-15274.3661421468</v>
      </c>
      <c r="J27" s="48" t="n">
        <f aca="false">J17-J25</f>
        <v>-11966.2396053236</v>
      </c>
      <c r="K27" s="48" t="n">
        <f aca="false">K17-K25</f>
        <v>-13311.5420003902</v>
      </c>
      <c r="L27" s="48" t="n">
        <f aca="false">L17-L25</f>
        <v>-13477.9362753951</v>
      </c>
      <c r="M27" s="48" t="n">
        <f aca="false">M17-M25</f>
        <v>18899.5687211625</v>
      </c>
      <c r="N27" s="48" t="n">
        <f aca="false">N17-N25</f>
        <v>-1453.84216342296</v>
      </c>
      <c r="O27" s="48" t="n">
        <f aca="false">O17-O25</f>
        <v>28043.1006495343</v>
      </c>
      <c r="P27" s="48" t="n">
        <f aca="false">P17-P25</f>
        <v>-1058.97643234657</v>
      </c>
      <c r="Q27" s="48" t="n">
        <f aca="false">Q17-Q25</f>
        <v>28380.4022022491</v>
      </c>
      <c r="R27" s="48" t="n">
        <f aca="false">R17-R25</f>
        <v>-717.458610222784</v>
      </c>
      <c r="S27" s="48" t="n">
        <f aca="false">S17-S25</f>
        <v>29059.3583699494</v>
      </c>
      <c r="T27" s="48" t="n">
        <f aca="false">T17-T25</f>
        <v>-363.184863226201</v>
      </c>
      <c r="U27" s="48" t="n">
        <f aca="false">U17-U25</f>
        <v>29418.0605387835</v>
      </c>
      <c r="V27" s="48" t="n">
        <f aca="false">SUM(B27:U27)</f>
        <v>0.0866174611801398</v>
      </c>
    </row>
    <row r="28" customFormat="false" ht="15" hidden="false" customHeight="true" outlineLevel="0" collapsed="false">
      <c r="A28" s="16" t="s">
        <v>477</v>
      </c>
      <c r="B28" s="47" t="n">
        <f aca="false">B27</f>
        <v>4226.2577</v>
      </c>
      <c r="C28" s="47" t="n">
        <f aca="false">B33+C27</f>
        <v>8821.51592125</v>
      </c>
      <c r="D28" s="47" t="n">
        <f aca="false">C33+D27</f>
        <v>-12141.93867875</v>
      </c>
      <c r="E28" s="47" t="n">
        <f aca="false">D33+E27</f>
        <v>-15403.9865334844</v>
      </c>
      <c r="F28" s="47" t="n">
        <f aca="false">E33+F27</f>
        <v>-8645.58948515293</v>
      </c>
      <c r="G28" s="47" t="n">
        <f aca="false">F33+G27</f>
        <v>-9899.54935371734</v>
      </c>
      <c r="H28" s="47" t="n">
        <f aca="false">G33+H27</f>
        <v>-10085.7937206388</v>
      </c>
      <c r="I28" s="47" t="n">
        <f aca="false">H33+I27</f>
        <v>-10274.3661421468</v>
      </c>
      <c r="J28" s="47" t="n">
        <f aca="false">I33+J27</f>
        <v>-6966.23960532363</v>
      </c>
      <c r="K28" s="47" t="n">
        <f aca="false">J33+K27</f>
        <v>-8311.54200039017</v>
      </c>
      <c r="L28" s="47" t="n">
        <f aca="false">K33+L27</f>
        <v>-8477.93627539505</v>
      </c>
      <c r="M28" s="47" t="n">
        <f aca="false">L33+M27</f>
        <v>23899.5687211625</v>
      </c>
      <c r="N28" s="47" t="n">
        <f aca="false">M33+N27</f>
        <v>3546.15783657704</v>
      </c>
      <c r="O28" s="47" t="n">
        <f aca="false">N33+O27</f>
        <v>28043.1006495343</v>
      </c>
      <c r="P28" s="47" t="n">
        <f aca="false">O33+P27</f>
        <v>-1058.97643234657</v>
      </c>
      <c r="Q28" s="47" t="n">
        <f aca="false">P33+Q27</f>
        <v>28380.4022022491</v>
      </c>
      <c r="R28" s="47" t="n">
        <f aca="false">Q33+R27</f>
        <v>-717.458610222784</v>
      </c>
      <c r="S28" s="47" t="n">
        <f aca="false">R33+S27</f>
        <v>29059.3583699494</v>
      </c>
      <c r="T28" s="47" t="n">
        <f aca="false">S33+T27</f>
        <v>-363.184863226201</v>
      </c>
      <c r="U28" s="47" t="n">
        <f aca="false">T33+U27</f>
        <v>29418.0605387835</v>
      </c>
      <c r="V28" s="48"/>
    </row>
    <row r="29" customFormat="false" ht="15" hidden="false" customHeight="true" outlineLevel="0" collapsed="false">
      <c r="A29" s="36" t="s">
        <v>478</v>
      </c>
    </row>
    <row r="30" customFormat="false" ht="15" hidden="false" customHeight="true" outlineLevel="0" collapsed="false">
      <c r="A30" s="16" t="s">
        <v>479</v>
      </c>
      <c r="B30" s="47" t="n">
        <f aca="false">MAX(0,$B$6-B28)</f>
        <v>773.7423</v>
      </c>
      <c r="C30" s="47" t="n">
        <f aca="false">MAX(0,$B$6-C28)</f>
        <v>0</v>
      </c>
      <c r="D30" s="47" t="n">
        <f aca="false">MAX(0,$B$6-D28)</f>
        <v>17141.93867875</v>
      </c>
      <c r="E30" s="47" t="n">
        <f aca="false">MAX(0,$B$6-E28)</f>
        <v>20403.9865334844</v>
      </c>
      <c r="F30" s="47" t="n">
        <f aca="false">MAX(0,$B$6-F28)</f>
        <v>13645.5894851529</v>
      </c>
      <c r="G30" s="47" t="n">
        <f aca="false">MAX(0,$B$6-G28)</f>
        <v>14899.5493537173</v>
      </c>
      <c r="H30" s="47" t="n">
        <f aca="false">MAX(0,$B$6-H28)</f>
        <v>15085.7937206388</v>
      </c>
      <c r="I30" s="47" t="n">
        <f aca="false">MAX(0,$B$6-I28)</f>
        <v>15274.3661421468</v>
      </c>
      <c r="J30" s="47" t="n">
        <f aca="false">MAX(0,$B$6-J28)</f>
        <v>11966.2396053236</v>
      </c>
      <c r="K30" s="47" t="n">
        <f aca="false">MAX(0,$B$6-K28)</f>
        <v>13311.5420003902</v>
      </c>
      <c r="L30" s="47" t="n">
        <f aca="false">MAX(0,$B$6-L28)</f>
        <v>13477.9362753951</v>
      </c>
      <c r="M30" s="47" t="n">
        <f aca="false">MAX(0,$B$6-M28)</f>
        <v>0</v>
      </c>
      <c r="N30" s="47" t="n">
        <f aca="false">MAX(0,0-N28)</f>
        <v>0</v>
      </c>
      <c r="O30" s="47" t="n">
        <f aca="false">MAX(0,0-O28)</f>
        <v>0</v>
      </c>
      <c r="P30" s="47" t="n">
        <f aca="false">MAX(0,0-P28)</f>
        <v>1058.97643234657</v>
      </c>
      <c r="Q30" s="47" t="n">
        <f aca="false">MAX(0,0-Q28)</f>
        <v>0</v>
      </c>
      <c r="R30" s="47" t="n">
        <f aca="false">MAX(0,0-R28)</f>
        <v>717.458610222784</v>
      </c>
      <c r="S30" s="47" t="n">
        <f aca="false">MAX(0,0-S28)</f>
        <v>0</v>
      </c>
      <c r="T30" s="47" t="n">
        <f aca="false">MAX(0,0-T28)</f>
        <v>363.184863226201</v>
      </c>
      <c r="U30" s="47" t="n">
        <f aca="false">MAX(0,0-U28)</f>
        <v>0</v>
      </c>
      <c r="V30" s="48" t="n">
        <f aca="false">SUM(B30:U30)</f>
        <v>138120.304000795</v>
      </c>
      <c r="W30" s="62" t="s">
        <v>480</v>
      </c>
    </row>
    <row r="31" customFormat="false" ht="15" hidden="false" customHeight="true" outlineLevel="0" collapsed="false">
      <c r="A31" s="16" t="s">
        <v>481</v>
      </c>
      <c r="B31" s="47" t="n">
        <f aca="false">0</f>
        <v>0</v>
      </c>
      <c r="C31" s="47" t="n">
        <f aca="false">MIN(B32,MAX(0,C28-$B$6))</f>
        <v>773.7423</v>
      </c>
      <c r="D31" s="47" t="n">
        <f aca="false">MIN(C32,MAX(0,D28-$B$6))</f>
        <v>0</v>
      </c>
      <c r="E31" s="47" t="n">
        <f aca="false">MIN(D32,MAX(0,E28-$B$6))</f>
        <v>0</v>
      </c>
      <c r="F31" s="47" t="n">
        <f aca="false">MIN(E32,MAX(0,F28-$B$6))</f>
        <v>0</v>
      </c>
      <c r="G31" s="47" t="n">
        <f aca="false">MIN(F32,MAX(0,G28-$B$6))</f>
        <v>0</v>
      </c>
      <c r="H31" s="47" t="n">
        <f aca="false">MIN(G32,MAX(0,H28-$B$6))</f>
        <v>0</v>
      </c>
      <c r="I31" s="47" t="n">
        <f aca="false">MIN(H32,MAX(0,I28-$B$6))</f>
        <v>0</v>
      </c>
      <c r="J31" s="47" t="n">
        <f aca="false">MIN(I32,MAX(0,J28-$B$6))</f>
        <v>0</v>
      </c>
      <c r="K31" s="47" t="n">
        <f aca="false">MIN(J32,MAX(0,K28-$B$6))</f>
        <v>0</v>
      </c>
      <c r="L31" s="47" t="n">
        <f aca="false">MIN(K32,MAX(0,L28-$B$6))</f>
        <v>0</v>
      </c>
      <c r="M31" s="47" t="n">
        <f aca="false">MIN(L32,MAX(0,M28-$B$6))</f>
        <v>18899.5687211625</v>
      </c>
      <c r="N31" s="47" t="n">
        <f aca="false">MIN(M32,MAX(0,N28-0))</f>
        <v>3546.15783657704</v>
      </c>
      <c r="O31" s="47" t="n">
        <f aca="false">MIN(N32,MAX(0,O28-0))</f>
        <v>28043.1006495343</v>
      </c>
      <c r="P31" s="47" t="n">
        <f aca="false">MIN(O32,MAX(0,P28-0))</f>
        <v>0</v>
      </c>
      <c r="Q31" s="47" t="n">
        <f aca="false">MIN(P32,MAX(0,Q28-0))</f>
        <v>28380.4022022491</v>
      </c>
      <c r="R31" s="47" t="n">
        <f aca="false">MIN(Q32,MAX(0,R28-0))</f>
        <v>0</v>
      </c>
      <c r="S31" s="47" t="n">
        <f aca="false">MIN(R32,MAX(0,S28-0))</f>
        <v>29059.3583699494</v>
      </c>
      <c r="T31" s="47" t="n">
        <f aca="false">MIN(S32,MAX(0,T28-0))</f>
        <v>0</v>
      </c>
      <c r="U31" s="47" t="n">
        <f aca="false">MIN(T32,MAX(0,U28-0))</f>
        <v>29417.9739213223</v>
      </c>
      <c r="V31" s="48" t="n">
        <f aca="false">SUM(B31:U31)</f>
        <v>138120.304000795</v>
      </c>
      <c r="W31" s="62" t="s">
        <v>482</v>
      </c>
    </row>
    <row r="32" customFormat="false" ht="15" hidden="false" customHeight="true" outlineLevel="0" collapsed="false">
      <c r="A32" s="33" t="s">
        <v>483</v>
      </c>
      <c r="B32" s="48" t="n">
        <f aca="false">B30-B31</f>
        <v>773.7423</v>
      </c>
      <c r="C32" s="48" t="n">
        <f aca="false">B32+C30-C31</f>
        <v>0</v>
      </c>
      <c r="D32" s="48" t="n">
        <f aca="false">C32+D30-D31</f>
        <v>17141.93867875</v>
      </c>
      <c r="E32" s="48" t="n">
        <f aca="false">D32+E30-E31</f>
        <v>37545.9252122344</v>
      </c>
      <c r="F32" s="48" t="n">
        <f aca="false">E32+F30-F31</f>
        <v>51191.5146973873</v>
      </c>
      <c r="G32" s="48" t="n">
        <f aca="false">F32+G30-G31</f>
        <v>66091.0640511047</v>
      </c>
      <c r="H32" s="48" t="n">
        <f aca="false">G32+H30-H31</f>
        <v>81176.8577717435</v>
      </c>
      <c r="I32" s="48" t="n">
        <f aca="false">H32+I30-I31</f>
        <v>96451.2239138903</v>
      </c>
      <c r="J32" s="48" t="n">
        <f aca="false">I32+J30-J31</f>
        <v>108417.463519214</v>
      </c>
      <c r="K32" s="48" t="n">
        <f aca="false">J32+K30-K31</f>
        <v>121729.005519604</v>
      </c>
      <c r="L32" s="48" t="n">
        <f aca="false">K32+L30-L31</f>
        <v>135206.941794999</v>
      </c>
      <c r="M32" s="48" t="n">
        <f aca="false">L32+M30-M31</f>
        <v>116307.373073837</v>
      </c>
      <c r="N32" s="48" t="n">
        <f aca="false">M32+N30-N31</f>
        <v>112761.21523726</v>
      </c>
      <c r="O32" s="48" t="n">
        <f aca="false">N32+O30-O31</f>
        <v>84718.1145877253</v>
      </c>
      <c r="P32" s="48" t="n">
        <f aca="false">O32+P30-P31</f>
        <v>85777.0910200718</v>
      </c>
      <c r="Q32" s="48" t="n">
        <f aca="false">P32+Q30-Q31</f>
        <v>57396.6888178227</v>
      </c>
      <c r="R32" s="48" t="n">
        <f aca="false">Q32+R30-R31</f>
        <v>58114.1474280455</v>
      </c>
      <c r="S32" s="48" t="n">
        <f aca="false">R32+S30-S31</f>
        <v>29054.7890580961</v>
      </c>
      <c r="T32" s="48" t="n">
        <f aca="false">S32+T30-T31</f>
        <v>29417.9739213223</v>
      </c>
      <c r="U32" s="48" t="n">
        <f aca="false">T32+U30-U31</f>
        <v>0</v>
      </c>
      <c r="V32" s="48"/>
    </row>
    <row r="33" customFormat="false" ht="15" hidden="false" customHeight="true" outlineLevel="0" collapsed="false">
      <c r="A33" s="33" t="s">
        <v>484</v>
      </c>
      <c r="B33" s="48" t="n">
        <f aca="false">B28+B30-B31</f>
        <v>5000</v>
      </c>
      <c r="C33" s="48" t="n">
        <f aca="false">C28+C30-C31</f>
        <v>8047.77362125</v>
      </c>
      <c r="D33" s="48" t="n">
        <f aca="false">D28+D30-D31</f>
        <v>5000</v>
      </c>
      <c r="E33" s="48" t="n">
        <f aca="false">E28+E30-E31</f>
        <v>5000</v>
      </c>
      <c r="F33" s="48" t="n">
        <f aca="false">F28+F30-F31</f>
        <v>5000</v>
      </c>
      <c r="G33" s="48" t="n">
        <f aca="false">G28+G30-G31</f>
        <v>5000</v>
      </c>
      <c r="H33" s="48" t="n">
        <f aca="false">H28+H30-H31</f>
        <v>5000</v>
      </c>
      <c r="I33" s="48" t="n">
        <f aca="false">I28+I30-I31</f>
        <v>5000</v>
      </c>
      <c r="J33" s="48" t="n">
        <f aca="false">J28+J30-J31</f>
        <v>5000</v>
      </c>
      <c r="K33" s="48" t="n">
        <f aca="false">K28+K30-K31</f>
        <v>5000</v>
      </c>
      <c r="L33" s="48" t="n">
        <f aca="false">L28+L30-L31</f>
        <v>5000</v>
      </c>
      <c r="M33" s="48" t="n">
        <f aca="false">M28+M30-M31</f>
        <v>5000</v>
      </c>
      <c r="N33" s="48" t="n">
        <f aca="false">N28+N30-N31</f>
        <v>0</v>
      </c>
      <c r="O33" s="48" t="n">
        <f aca="false">O28+O30-O31</f>
        <v>0</v>
      </c>
      <c r="P33" s="48" t="n">
        <f aca="false">P28+P30-P31</f>
        <v>0</v>
      </c>
      <c r="Q33" s="48" t="n">
        <f aca="false">Q28+Q30-Q31</f>
        <v>0</v>
      </c>
      <c r="R33" s="48" t="n">
        <f aca="false">R28+R30-R31</f>
        <v>0</v>
      </c>
      <c r="S33" s="48" t="n">
        <f aca="false">S28+S30-S31</f>
        <v>0</v>
      </c>
      <c r="T33" s="48" t="n">
        <f aca="false">T28+T30-T31</f>
        <v>0</v>
      </c>
      <c r="U33" s="48" t="n">
        <f aca="false">U28+U30-U31</f>
        <v>0.0866174611837778</v>
      </c>
      <c r="V33" s="48"/>
    </row>
    <row r="34" customFormat="false" ht="15" hidden="false" customHeight="true" outlineLevel="0" collapsed="false"/>
    <row r="35" customFormat="false" ht="15" hidden="false" customHeight="true" outlineLevel="0" collapsed="false">
      <c r="A35" s="36" t="s">
        <v>485</v>
      </c>
    </row>
    <row r="36" customFormat="false" ht="15" hidden="false" customHeight="true" outlineLevel="0" collapsed="false">
      <c r="A36" s="16" t="s">
        <v>486</v>
      </c>
      <c r="B36" s="47" t="n">
        <v>0</v>
      </c>
      <c r="C36" s="47" t="n">
        <v>0</v>
      </c>
      <c r="D36" s="47" t="n">
        <v>0</v>
      </c>
      <c r="E36" s="47" t="n">
        <f aca="false">Ressources!C8</f>
        <v>32545.9792</v>
      </c>
      <c r="F36" s="47" t="n">
        <v>0</v>
      </c>
      <c r="G36" s="47" t="n">
        <f aca="false">Ressources!D8/2</f>
        <v>29452.61584</v>
      </c>
      <c r="H36" s="47" t="n">
        <v>0</v>
      </c>
      <c r="I36" s="47" t="n">
        <f aca="false">Ressources!D8/2</f>
        <v>29452.61584</v>
      </c>
      <c r="J36" s="47" t="n">
        <v>0</v>
      </c>
      <c r="K36" s="47" t="n">
        <f aca="false">Ressources!E8/2</f>
        <v>29785.7852128</v>
      </c>
      <c r="L36" s="47" t="n">
        <v>0</v>
      </c>
      <c r="M36" s="47" t="n">
        <f aca="false">Ressources!E8/2</f>
        <v>29785.7852128</v>
      </c>
      <c r="N36" s="47" t="n">
        <v>0</v>
      </c>
      <c r="O36" s="47" t="n">
        <v>0</v>
      </c>
      <c r="P36" s="47" t="n">
        <v>0</v>
      </c>
      <c r="Q36" s="47" t="n">
        <v>0</v>
      </c>
      <c r="R36" s="47" t="n">
        <v>0</v>
      </c>
      <c r="S36" s="47" t="n">
        <v>0</v>
      </c>
      <c r="T36" s="47" t="n">
        <v>0</v>
      </c>
      <c r="U36" s="47" t="n">
        <v>0</v>
      </c>
      <c r="V36" s="48" t="n">
        <f aca="false">SUM(B36:U36)</f>
        <v>151022.7813056</v>
      </c>
      <c r="W36" s="62" t="s">
        <v>487</v>
      </c>
    </row>
    <row r="37" customFormat="false" ht="15" hidden="false" customHeight="true" outlineLevel="0" collapsed="false">
      <c r="A37" s="16" t="s">
        <v>488</v>
      </c>
      <c r="B37" s="47" t="n">
        <f aca="false">B36-B16</f>
        <v>0</v>
      </c>
      <c r="C37" s="47" t="n">
        <f aca="false">B37+C36-C16</f>
        <v>0</v>
      </c>
      <c r="D37" s="47" t="n">
        <f aca="false">C37+D36-D16</f>
        <v>0</v>
      </c>
      <c r="E37" s="47" t="n">
        <f aca="false">D37+E36-E16</f>
        <v>32545.9792</v>
      </c>
      <c r="F37" s="47" t="n">
        <f aca="false">E37+F36-F16</f>
        <v>32545.9792</v>
      </c>
      <c r="G37" s="47" t="n">
        <f aca="false">F37+G36-G16</f>
        <v>61998.59504</v>
      </c>
      <c r="H37" s="47" t="n">
        <f aca="false">G37+H36-H16</f>
        <v>61998.59504</v>
      </c>
      <c r="I37" s="47" t="n">
        <f aca="false">H37+I36-I16</f>
        <v>91451.21088</v>
      </c>
      <c r="J37" s="47" t="n">
        <f aca="false">I37+J36-J16</f>
        <v>91451.21088</v>
      </c>
      <c r="K37" s="47" t="n">
        <f aca="false">J37+K36-K16</f>
        <v>121236.9960928</v>
      </c>
      <c r="L37" s="47" t="n">
        <f aca="false">K37+L36-L16</f>
        <v>121236.9960928</v>
      </c>
      <c r="M37" s="47" t="n">
        <f aca="false">L37+M36-M16</f>
        <v>118476.8021056</v>
      </c>
      <c r="N37" s="47" t="n">
        <f aca="false">M37+N36-N16</f>
        <v>118476.8021056</v>
      </c>
      <c r="O37" s="47" t="n">
        <f aca="false">N37+O36-O16</f>
        <v>89024.1862656</v>
      </c>
      <c r="P37" s="47" t="n">
        <f aca="false">O37+P36-P16</f>
        <v>89024.1862656</v>
      </c>
      <c r="Q37" s="47" t="n">
        <f aca="false">P37+Q36-Q16</f>
        <v>59571.5704256</v>
      </c>
      <c r="R37" s="47" t="n">
        <f aca="false">Q37+R36-R16</f>
        <v>59571.5704256</v>
      </c>
      <c r="S37" s="47" t="n">
        <f aca="false">R37+S36-S16</f>
        <v>29785.7852128</v>
      </c>
      <c r="T37" s="47" t="n">
        <f aca="false">S37+T36-T16</f>
        <v>29785.7852128</v>
      </c>
      <c r="U37" s="47" t="n">
        <f aca="false">T37+U36-U16</f>
        <v>0</v>
      </c>
      <c r="V37" s="48"/>
    </row>
    <row r="38" customFormat="false" ht="15" hidden="false" customHeight="true" outlineLevel="0" collapsed="false"/>
    <row r="39" customFormat="false" ht="15" hidden="false" customHeight="true" outlineLevel="0" collapsed="false">
      <c r="A39" s="36" t="s">
        <v>489</v>
      </c>
    </row>
    <row r="40" customFormat="false" ht="15" hidden="false" customHeight="true" outlineLevel="0" collapsed="false">
      <c r="A40" s="16" t="s">
        <v>490</v>
      </c>
      <c r="B40" s="63" t="n">
        <f aca="false">MAX(B32:U32)</f>
        <v>135206.941794999</v>
      </c>
    </row>
    <row r="41" customFormat="false" ht="15" hidden="false" customHeight="true" outlineLevel="0" collapsed="false">
      <c r="A41" s="16" t="s">
        <v>491</v>
      </c>
      <c r="B41" s="63" t="n">
        <f aca="false">B8*Ressources!F8</f>
        <v>120818.22504448</v>
      </c>
    </row>
    <row r="42" customFormat="false" ht="15" hidden="false" customHeight="true" outlineLevel="0" collapsed="false">
      <c r="A42" s="16" t="s">
        <v>492</v>
      </c>
      <c r="B42" s="58" t="str">
        <f aca="false">IF(B40&lt;=B41,"ok","DÉPASSEMENT")</f>
        <v>DÉPASSEMENT</v>
      </c>
    </row>
    <row r="43" customFormat="false" ht="15" hidden="false" customHeight="true" outlineLevel="0" collapsed="false">
      <c r="A43" s="16" t="s">
        <v>493</v>
      </c>
      <c r="B43" s="63" t="n">
        <f aca="false">SUM(B24:U24)</f>
        <v>16115.9133825388</v>
      </c>
    </row>
    <row r="44" customFormat="false" ht="15" hidden="false" customHeight="true" outlineLevel="0" collapsed="false">
      <c r="A44" s="16" t="s">
        <v>494</v>
      </c>
      <c r="B44" s="63" t="n">
        <f aca="false">Dépenses!F29</f>
        <v>16116</v>
      </c>
      <c r="C44" s="15" t="s">
        <v>495</v>
      </c>
    </row>
    <row r="45" customFormat="false" ht="15" hidden="false" customHeight="true" outlineLevel="0" collapsed="false">
      <c r="A45" s="16" t="s">
        <v>496</v>
      </c>
      <c r="B45" s="58" t="str">
        <f aca="false">IF(ABS(B43-B44)&lt;10,"ok","À METTRE À JOUR")</f>
        <v>ok</v>
      </c>
    </row>
    <row r="46" customFormat="false" ht="15" hidden="false" customHeight="true" outlineLevel="0" collapsed="false">
      <c r="A46" s="16" t="s">
        <v>497</v>
      </c>
      <c r="B46" s="58" t="str">
        <f aca="false">IF(U32&lt;1,"ok","ENCOURS RESTANT")</f>
        <v>ok</v>
      </c>
    </row>
    <row r="47" customFormat="false" ht="15" hidden="false" customHeight="true" outlineLevel="0" collapsed="false">
      <c r="A47" s="16" t="s">
        <v>498</v>
      </c>
      <c r="B47" s="58" t="str">
        <f aca="false">IF(ABS(V17-Ressources!F17)&lt;1,"ok","ÉCART")</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2026-08-27T15:36:24Z</dcterms:created>
  <dc:creator>openpyxl</dc:creator>
  <dc:description/>
  <dc:language>en-US</dc:language>
  <cp:lastModifiedBy>Clément Chardon</cp:lastModifiedBy>
  <dcterms:modified xsi:type="dcterms:W3CDTF">2026-09-29T08:13:26Z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