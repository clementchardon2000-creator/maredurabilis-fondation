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ning financier" sheetId="1" state="visible" r:id="rId3"/>
    <sheet name="Synthèse annuelle" sheetId="2" state="visible" r:id="rId4"/>
    <sheet name="Circuit publi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<sst xmlns="http://schemas.openxmlformats.org/spreadsheetml/2006/main" count="177" uniqueCount="170">
  <si>
    <t xml:space="preserve">PLANNING FINANCIER 2026-2029 — FONDS DE DOTATION MARE DURABILIS</t>
  </si>
  <si>
    <t xml:space="preserve">Trimestre par trimestre. Chaque montant provient d'une slide de la note stratégique v1, du budget SmartSnap déposé, ou d'un calendrier fourni par le porteur (onglet « Sources »).</t>
  </si>
  <si>
    <t xml:space="preserve">Trois levées de fonds, calculées : la première finance les engagements de 2026 — Mare Collect, étude de conception du chalutier — et les moyens communs et le fonctionnement de 2026 et 2027 ; la deuxième amorce les programmes et porte Mare Collect 2027-2029 et les blocs B et C de 2028-2029 ; la troisième couvre le chalutier et la fin de période. La dotation est non consomptible : seuls ses produits financent.</t>
  </si>
  <si>
    <t xml:space="preserve">T1 2026</t>
  </si>
  <si>
    <t xml:space="preserve">T2 2026</t>
  </si>
  <si>
    <t xml:space="preserve">T3 2026</t>
  </si>
  <si>
    <t xml:space="preserve">T4 2026</t>
  </si>
  <si>
    <t xml:space="preserve">T1 2027</t>
  </si>
  <si>
    <t xml:space="preserve">T2 2027</t>
  </si>
  <si>
    <t xml:space="preserve">T3 2027</t>
  </si>
  <si>
    <t xml:space="preserve">T4 2027</t>
  </si>
  <si>
    <t xml:space="preserve">T1 2028</t>
  </si>
  <si>
    <t xml:space="preserve">T2 2028</t>
  </si>
  <si>
    <t xml:space="preserve">T3 2028</t>
  </si>
  <si>
    <t xml:space="preserve">T4 2028</t>
  </si>
  <si>
    <t xml:space="preserve">T1 2029</t>
  </si>
  <si>
    <t xml:space="preserve">T2 2029</t>
  </si>
  <si>
    <t xml:space="preserve">T3 2029</t>
  </si>
  <si>
    <t xml:space="preserve">T4 2029</t>
  </si>
  <si>
    <t xml:space="preserve">Total planifié</t>
  </si>
  <si>
    <t xml:space="preserve">Enveloppe de référence</t>
  </si>
  <si>
    <t xml:space="preserve">Reste à dater</t>
  </si>
  <si>
    <t xml:space="preserve">Source et calendrier</t>
  </si>
  <si>
    <t xml:space="preserve">1.  ENGAGEMENTS — BLOC A · ENVELOPPES DE PROGRAMME</t>
  </si>
  <si>
    <t xml:space="preserve">   P1 · Cocktail chimique du Rhône</t>
  </si>
  <si>
    <t xml:space="preserve">Slide 1.3 : 3 × 150 000 €. Calendrier : T2 2027, T2 2028, T2 2029 (porteur).</t>
  </si>
  <si>
    <t xml:space="preserve">   P2 · Fishwind</t>
  </si>
  <si>
    <t xml:space="preserve">Slide 1.3 : 800 000 €. Calendrier : T3 2027 (porteur).</t>
  </si>
  <si>
    <t xml:space="preserve">   P3 · Mare Collect</t>
  </si>
  <si>
    <t xml:space="preserve">Note stratégique : 4 × 43 000 €. Calendrier : T4 2026, T4 2027, T4 2028, T4 2029 (porteur).</t>
  </si>
  <si>
    <t xml:space="preserve">   P4 · Étude de conception du chalutier</t>
  </si>
  <si>
    <t xml:space="preserve">Slide 1.3 : 70 000 €. Calendrier : T4 2026 (porteur).</t>
  </si>
  <si>
    <t xml:space="preserve">   P4 · Construction du chalutier</t>
  </si>
  <si>
    <t xml:space="preserve">Slide 1.3 : 2 000 000 €. Calendrier : T3 2028 (porteur).</t>
  </si>
  <si>
    <t xml:space="preserve">   P4 · SmartSnap — tranches 2027 à 2029</t>
  </si>
  <si>
    <t xml:space="preserve">Budget SmartSnap déposé, annexe 4 : 108 350 / 48 350 / 67 850 € pour les années 1 à 3. Projet démarré le 01/01/2027, base annuelle : tranche placée au T1 de chaque exercice.</t>
  </si>
  <si>
    <t xml:space="preserve">Sous-total bloc A</t>
  </si>
  <si>
    <t xml:space="preserve">   Mémo · SmartSnap années 4 et 5 (2030-2031), hors horizon du planning</t>
  </si>
  <si>
    <t xml:space="preserve">Budget SmartSnap : 106 850 € (2030) + 91 850 € (2031). Engagés au titre de la même convention mais décaissés après la période.</t>
  </si>
  <si>
    <t xml:space="preserve">2.  ENGAGEMENTS — BLOC B · MOYENS COMMUNS</t>
  </si>
  <si>
    <t xml:space="preserve">   B.1 · Plateforme Mare Services — apport de démarrage et charges</t>
  </si>
  <si>
    <t xml:space="preserve">Aucune charge en 2026 (plateforme créée en 2027). La commission (7 120 €) ne couvre pas les charges : outils 600 €/an, Stripe 33 €/an, refacturation par l'association de 0,20 ETP du chef de projet (coût complet) et de 20 % des moyens matériels, frais de constitution de 400 € en 2027. Déficit couvert : 919 € en 2027 (T4), 6 636 € en 2028, 6 882 € en 2029.</t>
  </si>
  <si>
    <t xml:space="preserve">   B.2 · Structure de détention du matériel — apport de démarrage</t>
  </si>
  <si>
    <t xml:space="preserve">Apport de démarrage 2 120 € : dépôt des statuts 400 €, assurance RC 400 €, comptabilité 1 200 €, frais bancaires 120 €. Aucun achat d'équipement prévu.</t>
  </si>
  <si>
    <t xml:space="preserve">   B.3 · Reste à charge de la part non publique — association Mare Durabilis</t>
  </si>
  <si>
    <t xml:space="preserve">Reste à charge de l'association après financement public (80 % de l'assiette éligible), refacturations et autofinancement (1 %), y compris les intérêts de l'avance de trésorerie ; repris de l'onglet Circuit public, réparti par quart.</t>
  </si>
  <si>
    <t xml:space="preserve">Sous-total bloc B</t>
  </si>
  <si>
    <t xml:space="preserve">3.  ENGAGEMENTS — BLOC C · FRAIS DE FONCTIONNEMENT DU FONDS</t>
  </si>
  <si>
    <t xml:space="preserve">   Quote-part du chef de projet refacturée</t>
  </si>
  <si>
    <t xml:space="preserve">Budget de fonctionnement ASSO, onglet Ressources ligne 10 : 5 766 / 11 756 / 11 985 € (20 % du coût complet du chef de projet : salaire chargé, base 55 000 € en 2026, plus mutuelle et prévoyance). 2027 porté sur T3-T4 (recrutement au 1er juillet 2027) ; 2028 et 2029 par quart.</t>
  </si>
  <si>
    <t xml:space="preserve">   Honoraires du commissaire aux comptes</t>
  </si>
  <si>
    <t xml:space="preserve">Slide 3.4 : 6 000 €/an de 2027 à 2029</t>
  </si>
  <si>
    <t xml:space="preserve">   Expertise comptable et tenue des comptes</t>
  </si>
  <si>
    <t xml:space="preserve">Slide 3.4 : 1 500 € (2027) puis 2 000 €/an</t>
  </si>
  <si>
    <t xml:space="preserve">   Honoraires juridiques et fiscaux propres au fonds</t>
  </si>
  <si>
    <t xml:space="preserve">Slide 3.4 : 3 000 €/an en 2028 et 2029</t>
  </si>
  <si>
    <t xml:space="preserve">   Frais bancaires et gestion des placements</t>
  </si>
  <si>
    <t xml:space="preserve">Slide 3.4 : 300 € (2026, à compter de la création en septembre) puis 500 €/an.</t>
  </si>
  <si>
    <t xml:space="preserve">   Frais de recherche de fonds</t>
  </si>
  <si>
    <t xml:space="preserve">Slide 3.4 : 2 500 €/an en 2028 et 2029, réparti par quart.</t>
  </si>
  <si>
    <t xml:space="preserve">   Quote-part des moyens matériels refacturée par l'association</t>
  </si>
  <si>
    <t xml:space="preserve">20 % des charges locatives, multirisque, télécommunications et fournitures courantes de l'association (hors locaux et mobilier, portés par le fonds).</t>
  </si>
  <si>
    <t xml:space="preserve">   Locaux mis à disposition de l'association (loyer, TEOM, charges)</t>
  </si>
  <si>
    <t xml:space="preserve">Transféré du budget de l'association : bail porté par le fonds (700 €/mois), bureau mis à disposition par convention. 4 350 € (2027, six mois), 9 012 €, 9 026 € avec TEOM et charges.</t>
  </si>
  <si>
    <t xml:space="preserve">   Mobilier de première installation</t>
  </si>
  <si>
    <t xml:space="preserve">Mobilier de première installation, 10 000 € au T3 2027 (transféré du budget de l'association).</t>
  </si>
  <si>
    <t xml:space="preserve">   Frais de représentation (réceptions de partenaires et de mécènes)</t>
  </si>
  <si>
    <t xml:space="preserve">Transféré du budget de l'association (non éligible au FEAMPA) : 200 € en 2027 (T3-T4), 100 €/an ensuite.</t>
  </si>
  <si>
    <t xml:space="preserve">Sous-total bloc C</t>
  </si>
  <si>
    <t xml:space="preserve">Cumul recalculé : 154 242 € sur la période (budget pluriannuel FDD  bloc C).</t>
  </si>
  <si>
    <t xml:space="preserve">TOTAL ENGAGÉ  (A + B + C)</t>
  </si>
  <si>
    <t xml:space="preserve">Engagements cumulés</t>
  </si>
  <si>
    <t xml:space="preserve">4.  DOTATION NON CONSOMPTIBLE — capital inaliénable, seuls les produits sont mobilisables</t>
  </si>
  <si>
    <t xml:space="preserve">   Versements à la dotation</t>
  </si>
  <si>
    <t xml:space="preserve">Dotation initiale de 45 000 € : 15 000 € apportés par la SATHOAN au T4 2026 à la constitution du fonds, 15 000 € par le CRPMEM au T1 2027, 15 000 € par l’OP du Sud au T4 2027.</t>
  </si>
  <si>
    <t xml:space="preserve">   Capital de dotation cumulé</t>
  </si>
  <si>
    <t xml:space="preserve">Non consomptible : ce capital ne finance aucun engagement. Il n'entre pas dans les encaissements mobilisables.</t>
  </si>
  <si>
    <t xml:space="preserve">   Produits financiers de la dotation</t>
  </si>
  <si>
    <t xml:space="preserve">Rendement annuel de 2 % (hypothèse porteur), appliqué au capital placé au trimestre précédent. Slide 3.4 : ressource du bloc C.</t>
  </si>
  <si>
    <t xml:space="preserve">5.  RESSOURCES MOBILISABLES DU FONDS — circuit privé</t>
  </si>
  <si>
    <t xml:space="preserve">   Levée 1 — amorçage : Mare Collect 2026, étude de conception du chalutier, moyens communs et fonctionnement 2026-2027</t>
  </si>
  <si>
    <t xml:space="preserve">Encaissée au T4 2026, trimestre des premiers engagements. Finance la première tranche Mare Collect (43 000 €), l'étude de conception du chalutier (70 000 €) et les blocs B et C des exercices 2026 et 2027. Montant calculé.</t>
  </si>
  <si>
    <t xml:space="preserve">   Levée 2 — amorçage des programmes P1, P2 et SmartSnap ; Mare Collect 2027-2029 ; moyens communs et fonctionnement 2028-2029</t>
  </si>
  <si>
    <t xml:space="preserve">Encaissée au T1 2027, trimestre de la première tranche SmartSnap. Couvre les engagements jusqu'au T2 2028 inclus, nets de la levée 1 et des produits financiers, auxquels s'ajoutent les tranches Mare Collect 2028 et 2029 et les blocs B et C du T3 2028 au T4 2029.</t>
  </si>
  <si>
    <t xml:space="preserve">   Levée 3 — financement du chalutier et fin de période</t>
  </si>
  <si>
    <t xml:space="preserve">Encaissée au T2 2028, un trimestre avant l'engagement du chalutier. Solde du besoin de la période : chalutier, dernières tranches P1 et SmartSnap.</t>
  </si>
  <si>
    <t xml:space="preserve">Report de la ligne 36.</t>
  </si>
  <si>
    <t xml:space="preserve">   Quote-part de frais de gestion sur conventions</t>
  </si>
  <si>
    <t xml:space="preserve">Non négociée à ce jour : 0. Slide 3.7 la cite comme piste de couverture du fonctionnement.</t>
  </si>
  <si>
    <t xml:space="preserve">   Revenus des structures soutenues</t>
  </si>
  <si>
    <t xml:space="preserve">Aucun excédent attendu de Mare Services sur la période : la commission ne couvre pas les charges (déficit porté par le bloc B.1).</t>
  </si>
  <si>
    <t xml:space="preserve">TOTAL ENCAISSÉ MOBILISABLE</t>
  </si>
  <si>
    <t xml:space="preserve">Encaissements cumulés</t>
  </si>
  <si>
    <t xml:space="preserve">6.  CONTRÔLE — un engagement ne doit jamais précéder son encaissement</t>
  </si>
  <si>
    <t xml:space="preserve">   Couverture cumulée</t>
  </si>
  <si>
    <t xml:space="preserve">Encaissements mobilisables cumulés moins engagements cumulés. La dotation non consomptible en est exclue.</t>
  </si>
  <si>
    <t xml:space="preserve">   Alerte</t>
  </si>
  <si>
    <t xml:space="preserve">Doit rester « ok » sur les seize trimestres.</t>
  </si>
  <si>
    <t xml:space="preserve">7.  POUR MÉMOIRE — CIRCUIT PUBLIC PORTÉ PAR L'ASSOCIATION (hors trésorerie du fonds)</t>
  </si>
  <si>
    <t xml:space="preserve">   Voir l'onglet « Circuit public » : budget de fonctionnement de l'association, part FEAMPA, refacturation au fonds et autofinancement (source : classeur Budget de fonctionnement ASSO).</t>
  </si>
  <si>
    <t xml:space="preserve">   Un fonds de dotation ne peut recevoir de fonds publics : ces montants n'entrent jamais dans les blocs 1 à 6 ci-dessus.</t>
  </si>
  <si>
    <t xml:space="preserve">LÉGENDE</t>
  </si>
  <si>
    <t xml:space="preserve">Bleu = montant saisi, repris tel quel d'une slide, du budget SmartSnap ou d'un calendrier fourni.   Noir = formule.   Fond jaune = à renseigner ou calculé automatiquement.</t>
  </si>
  <si>
    <t xml:space="preserve">Colonne S = enveloppe de référence ; colonne T = part non encore datée. Elle doit tomber à zéro une fois Fishwind placé.</t>
  </si>
  <si>
    <t xml:space="preserve">Les trois levées ne sont pas saisies : elles se déduisent du calendrier d'engagement. Déplacer une date d'engagement recalcule les montants à lever.</t>
  </si>
  <si>
    <t xml:space="preserve">La dotation (bloc 4) est isolée : son capital ne finance rien, seuls ses produits entrent dans les ressources mobilisables.</t>
  </si>
  <si>
    <t xml:space="preserve">HYPOTHÈSE CHIFFRÉE</t>
  </si>
  <si>
    <t xml:space="preserve">Taux de rendement annuel de la dotation non consomptible</t>
  </si>
  <si>
    <t xml:space="preserve">Hypothèse porteur. Modifier ici recalcule tout le bloc 4 et les trois levées.</t>
  </si>
  <si>
    <t xml:space="preserve">SYNTHÈSE ANNUELLE — à reporter sur la slide « Planning financier »</t>
  </si>
  <si>
    <t xml:space="preserve">2026</t>
  </si>
  <si>
    <t xml:space="preserve">2027</t>
  </si>
  <si>
    <t xml:space="preserve">2028</t>
  </si>
  <si>
    <t xml:space="preserve">2029</t>
  </si>
  <si>
    <t xml:space="preserve">Total</t>
  </si>
  <si>
    <t xml:space="preserve">Engagé — bloc A · programmes</t>
  </si>
  <si>
    <t xml:space="preserve">Engagé — bloc B · moyens communs</t>
  </si>
  <si>
    <t xml:space="preserve">Engagé — bloc C · fonctionnement</t>
  </si>
  <si>
    <t xml:space="preserve">TOTAL ENGAGÉ</t>
  </si>
  <si>
    <t xml:space="preserve">Levée 1</t>
  </si>
  <si>
    <t xml:space="preserve">Levée 2</t>
  </si>
  <si>
    <t xml:space="preserve">Levée 3</t>
  </si>
  <si>
    <t xml:space="preserve">Produits de la dotation</t>
  </si>
  <si>
    <t xml:space="preserve">Versements à la dotation (non consomptible)</t>
  </si>
  <si>
    <t xml:space="preserve">Capital de dotation en fin d'exercice</t>
  </si>
  <si>
    <t xml:space="preserve">Couverture cumulée en fin d'exercice</t>
  </si>
  <si>
    <t xml:space="preserve">CONTRÔLES DE COHÉRENCE</t>
  </si>
  <si>
    <t xml:space="preserve">Bloc C attendu (budget pluriannuel FDD, onglet « C · Fonctionnement »)</t>
  </si>
  <si>
    <t xml:space="preserve">Écart bloc C (doit être nul)</t>
  </si>
  <si>
    <t xml:space="preserve">Enveloppe des programmes — note stratégique (Mare Collect 4 × 43 000 €, étude de conception 70 000 €)</t>
  </si>
  <si>
    <t xml:space="preserve">Enveloppe des programmes — après budget SmartSnap déposé (423 250 €)</t>
  </si>
  <si>
    <t xml:space="preserve">Programmes datés sur 2026-2029</t>
  </si>
  <si>
    <t xml:space="preserve">Fishwind — daté au T3 2027</t>
  </si>
  <si>
    <t xml:space="preserve">SmartSnap — tranches 2030-2031, hors horizon</t>
  </si>
  <si>
    <t xml:space="preserve">Contrôle (doit être nul)</t>
  </si>
  <si>
    <t xml:space="preserve">Besoin de mécénat couvert par les trois levées</t>
  </si>
  <si>
    <t xml:space="preserve">Part de l'enveloppe non financée par les levées (hors horizon)</t>
  </si>
  <si>
    <t xml:space="preserve">CIRCUIT PUBLIC — BUDGET DE FONCTIONNEMENT DE L'ASSOCIATION MARE DURABILIS</t>
  </si>
  <si>
    <t xml:space="preserve">Hors trésorerie du fonds de dotation. Repris du classeur « Mare Durabilis — Budget de fonctionnement 2026-2029 (ASSO) », onglets Dépenses, Ressources et Synthèse. Valeurs recopiées : modifier le budget ASSO, puis reporter ici.</t>
  </si>
  <si>
    <t xml:space="preserve">PRÉFIGURATION</t>
  </si>
  <si>
    <t xml:space="preserve">OUVERTURE</t>
  </si>
  <si>
    <t xml:space="preserve">RÉGIME DE CROISIÈRE</t>
  </si>
  <si>
    <t xml:space="preserve">RECONDUCTION</t>
  </si>
  <si>
    <t xml:space="preserve">DÉPENSES DE FONCTIONNEMENT DE LA GOUVERNANCE</t>
  </si>
  <si>
    <t xml:space="preserve">Charges de personnel</t>
  </si>
  <si>
    <t xml:space="preserve">     dont chef de projet — coût total employeur (salaire, cotisations, mutuelle, prévoyance)</t>
  </si>
  <si>
    <t xml:space="preserve">     dont protection sociale complémentaire — incluse dans la ligne précédente</t>
  </si>
  <si>
    <t xml:space="preserve">Prestations externes (juridique, ingénierie, études, communication)</t>
  </si>
  <si>
    <t xml:space="preserve">Déplacements et missions</t>
  </si>
  <si>
    <t xml:space="preserve">Animation et concertation</t>
  </si>
  <si>
    <t xml:space="preserve">Frais généraux et financiers (hors locaux et mobilier, portés par le fonds)</t>
  </si>
  <si>
    <t xml:space="preserve">TOTAL DES DÉPENSES DE L'ASSOCIATION</t>
  </si>
  <si>
    <t xml:space="preserve">RESSOURCES</t>
  </si>
  <si>
    <t xml:space="preserve">Part FEAMPA (80 % de l'assiette éligible : salaire à 0,60 ETP + forfaits de 15 % et de 6,3 % + dépenses directes)</t>
  </si>
  <si>
    <t xml:space="preserve">Refacturation au fonds — quote-part du chef de projet (0,20 ETP)</t>
  </si>
  <si>
    <t xml:space="preserve">Refacturation au fonds — quote-part des moyens matériels (20 %)</t>
  </si>
  <si>
    <t xml:space="preserve">Refacturation à Mare Services — 0,20 ETP du chef de projet et 20 % des moyens matériels</t>
  </si>
  <si>
    <t xml:space="preserve">Reste à charge de la part non publique — versé par le fonds (bloc B.3)</t>
  </si>
  <si>
    <t xml:space="preserve">Autofinancement de l'association (1 % des dépenses)</t>
  </si>
  <si>
    <t xml:space="preserve">TOTAL DES RESSOURCES</t>
  </si>
  <si>
    <t xml:space="preserve">Contrôle — écart ressources / dépenses (doit être nul)</t>
  </si>
  <si>
    <t xml:space="preserve">Taux de financement public</t>
  </si>
  <si>
    <t xml:space="preserve">Part portée par le fonds de dotation</t>
  </si>
  <si>
    <t xml:space="preserve">• 2026 est à zéro : l'association est créée en janvier 2027, aucune charge de fonctionnement n'est portée avant.</t>
  </si>
  <si>
    <t xml:space="preserve">• Le chef de projet est recruté au 1er juillet 2027 : le salaire 2027 correspond à six mois d'activité.</t>
  </si>
  <si>
    <t xml:space="preserve">• Trois refacturations rémunèrent un service rendu, sur convention de prestation et facture : au fonds, 0,20 ETP et 20 % des moyens matériels ; à Mare Services, 0,20 ETP. Le reste à charge de la part non publique (bloc B.3) couvre ce que ni le financement public, ni les refacturations, ni l'autofinancement ne portent.</t>
  </si>
  <si>
    <t xml:space="preserve">• L'autofinancement de l'association est fixé à 1 % de ses dépenses ; le fonds porte le solde de la part non publique (15 % du budget avec ses refacturations).</t>
  </si>
  <si>
    <t xml:space="preserve">• Un fonds de dotation ne peut recevoir de fonds publics : la part FEAMPA n'entre jamais dans la trésorerie du fonds.</t>
  </si>
  <si>
    <t xml:space="preserve">• Point ouvert : le FEAMPA ferme en 2027. Le relais Région Occitanie / État reste à identifier.</t>
  </si>
  <si>
    <t xml:space="preserve">• Point ouvert : certains financeurs exigent une part minimale d'autofinancement du bénéficiaire. À vérifier avant dépôt.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</si>
</sst>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€&quot;;\-#,##0&quot; €&quot;;\-"/>
    <numFmt numFmtId="166" formatCode="0.0%"/>
    <numFmt numFmtId="167" formatCode="0\ 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9"/>
      <color rgb="FFC00000"/>
      <name val="Arial"/>
      <family val="0"/>
      <charset val="1"/>
    </font>
    <font>
      <sz val="9"/>
      <color rgb="FF6B7280"/>
      <name val="Arial"/>
      <family val="0"/>
      <charset val="1"/>
    </font>
    <font>
      <sz val="11"/>
      <color rgb="FFFF0000"/>
      <name val="Calibri"/>
      <family val="2"/>
      <charset val="1"/>
    </font>
    <font>
      <sz val="10"/>
      <color rgb="FFFF0000"/>
      <name val="Arial"/>
      <family val="2"/>
      <charset val="1"/>
    </font>
    <font>
      <b val="true"/>
      <sz val="10"/>
      <color rgb="FF1F3864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9"/>
      <color rgb="FF595959"/>
      <name val="Calibri"/>
      <family val="0"/>
      <charset val="1"/>
    </font>
    <font>
      <sz val="8"/>
      <color rgb="FF0E7C7B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9"/>
      <color rgb="FF1F3864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E2EFDA"/>
      </patternFill>
    </fill>
    <fill>
      <patternFill patternType="solid">
        <fgColor rgb="FF1F3864"/>
        <bgColor rgb="FF333399"/>
      </patternFill>
    </fill>
    <fill>
      <patternFill patternType="solid">
        <fgColor rgb="FFEDEDED"/>
        <bgColor rgb="FFEDF2FA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F2F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E7C7B"/>
      <rgbColor rgb="FFC0C0C0"/>
      <rgbColor rgb="FF808080"/>
      <rgbColor rgb="FF9999FF"/>
      <rgbColor rgb="FF993366"/>
      <rgbColor rgb="FFFFF2CC"/>
      <rgbColor rgb="FFEDF2FA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7"/>
  <sheetViews>
    <sheetView showFormulas="false" showGridLines="false" showRowColHeaders="true" showZeros="true" rightToLeft="false" tabSelected="true" showOutlineSymbols="true" defaultGridColor="true" view="normal" topLeftCell="A1" colorId="64" zoomScale="48" zoomScaleNormal="48" zoomScalePageLayoutView="100" workbookViewId="0">
      <pane xSplit="1" ySplit="5" topLeftCell="L6" activePane="bottomRight" state="frozen"/>
      <selection pane="topLeft" activeCell="A1" activeCellId="0" sqref="A1"/>
      <selection pane="topRight" activeCell="L1" activeCellId="0" sqref="L1"/>
      <selection pane="bottomLeft" activeCell="A6" activeCellId="0" sqref="A6"/>
      <selection pane="bottomRight" activeCell="U26" activeCellId="0" sqref="U26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6"/>
    <col collapsed="false" customWidth="true" hidden="false" outlineLevel="0" max="17" min="2" style="1" width="12"/>
    <col collapsed="false" customWidth="true" hidden="false" outlineLevel="0" max="20" min="18" style="1" width="14"/>
    <col collapsed="false" customWidth="true" hidden="false" outlineLevel="0" max="21" min="21" style="1" width="82.73"/>
  </cols>
  <sheetData>
    <row r="1" customFormat="false" ht="18" hidden="false" customHeight="true" outlineLevel="0" collapsed="false">
      <c r="A1" s="2" t="s">
        <v>0</v>
      </c>
    </row>
    <row r="2" customFormat="false" ht="14.25" hidden="false" customHeight="true" outlineLevel="0" collapsed="false">
      <c r="A2" s="3" t="s">
        <v>1</v>
      </c>
    </row>
    <row r="3" customFormat="false" ht="14.25" hidden="false" customHeight="true" outlineLevel="0" collapsed="false">
      <c r="A3" s="3" t="s">
        <v>2</v>
      </c>
    </row>
    <row r="5" customFormat="false" ht="31.5" hidden="false" customHeight="true" outlineLevel="0" collapsed="false">
      <c r="A5" s="4"/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6" t="s">
        <v>19</v>
      </c>
      <c r="S5" s="6" t="s">
        <v>20</v>
      </c>
      <c r="T5" s="6" t="s">
        <v>21</v>
      </c>
      <c r="U5" s="6" t="s">
        <v>22</v>
      </c>
    </row>
    <row r="6" customFormat="false" ht="18" hidden="false" customHeight="true" outlineLevel="0" collapsed="false">
      <c r="A6" s="7" t="s">
        <v>23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customFormat="false" ht="14.25" hidden="false" customHeight="true" outlineLevel="0" collapsed="false">
      <c r="A7" s="9" t="s">
        <v>24</v>
      </c>
      <c r="B7" s="10"/>
      <c r="C7" s="10"/>
      <c r="D7" s="10"/>
      <c r="E7" s="10"/>
      <c r="F7" s="10"/>
      <c r="G7" s="11" t="n">
        <v>150000</v>
      </c>
      <c r="H7" s="10"/>
      <c r="I7" s="10"/>
      <c r="J7" s="10"/>
      <c r="K7" s="11" t="n">
        <v>150000</v>
      </c>
      <c r="L7" s="10"/>
      <c r="M7" s="10"/>
      <c r="N7" s="10"/>
      <c r="O7" s="11" t="n">
        <v>150000</v>
      </c>
      <c r="P7" s="10"/>
      <c r="Q7" s="10"/>
      <c r="R7" s="12" t="n">
        <f aca="false">SUM(B7:Q7)</f>
        <v>450000</v>
      </c>
      <c r="S7" s="11" t="n">
        <v>450000</v>
      </c>
      <c r="T7" s="10" t="n">
        <f aca="false">S7-R7</f>
        <v>0</v>
      </c>
      <c r="U7" s="13" t="s">
        <v>25</v>
      </c>
    </row>
    <row r="8" customFormat="false" ht="14.25" hidden="false" customHeight="true" outlineLevel="0" collapsed="false">
      <c r="A8" s="9" t="s">
        <v>26</v>
      </c>
      <c r="B8" s="10"/>
      <c r="C8" s="10"/>
      <c r="D8" s="10"/>
      <c r="E8" s="10"/>
      <c r="F8" s="10"/>
      <c r="G8" s="10"/>
      <c r="H8" s="11" t="n">
        <v>800000</v>
      </c>
      <c r="I8" s="10"/>
      <c r="J8" s="10"/>
      <c r="K8" s="10"/>
      <c r="L8" s="10"/>
      <c r="M8" s="10"/>
      <c r="N8" s="10"/>
      <c r="O8" s="10"/>
      <c r="P8" s="10"/>
      <c r="Q8" s="10"/>
      <c r="R8" s="12" t="n">
        <f aca="false">SUM(B8:Q8)</f>
        <v>800000</v>
      </c>
      <c r="S8" s="11" t="n">
        <v>800000</v>
      </c>
      <c r="T8" s="10" t="n">
        <f aca="false">S8-R8</f>
        <v>0</v>
      </c>
      <c r="U8" s="13" t="s">
        <v>27</v>
      </c>
    </row>
    <row r="9" customFormat="false" ht="14.25" hidden="false" customHeight="true" outlineLevel="0" collapsed="false">
      <c r="A9" s="9" t="s">
        <v>28</v>
      </c>
      <c r="B9" s="10"/>
      <c r="C9" s="10"/>
      <c r="D9" s="10"/>
      <c r="E9" s="11" t="n">
        <v>43000</v>
      </c>
      <c r="F9" s="10"/>
      <c r="G9" s="10"/>
      <c r="H9" s="10"/>
      <c r="I9" s="11" t="n">
        <v>43000</v>
      </c>
      <c r="J9" s="10"/>
      <c r="K9" s="10"/>
      <c r="L9" s="10"/>
      <c r="M9" s="11" t="n">
        <v>43000</v>
      </c>
      <c r="N9" s="10"/>
      <c r="O9" s="10"/>
      <c r="P9" s="10"/>
      <c r="Q9" s="10" t="n">
        <v>43000</v>
      </c>
      <c r="R9" s="12" t="n">
        <f aca="false">SUM(B9:Q9)</f>
        <v>172000</v>
      </c>
      <c r="S9" s="11" t="n">
        <v>172000</v>
      </c>
      <c r="T9" s="10" t="n">
        <f aca="false">S9-R9</f>
        <v>0</v>
      </c>
      <c r="U9" s="13" t="s">
        <v>29</v>
      </c>
    </row>
    <row r="10" customFormat="false" ht="14.25" hidden="false" customHeight="true" outlineLevel="0" collapsed="false">
      <c r="A10" s="9" t="s">
        <v>30</v>
      </c>
      <c r="B10" s="10"/>
      <c r="C10" s="10"/>
      <c r="D10" s="10"/>
      <c r="E10" s="11" t="n">
        <v>70000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2" t="n">
        <f aca="false">SUM(B10:Q10)</f>
        <v>70000</v>
      </c>
      <c r="S10" s="11" t="n">
        <v>70000</v>
      </c>
      <c r="T10" s="10" t="n">
        <f aca="false">S10-R10</f>
        <v>0</v>
      </c>
      <c r="U10" s="13" t="s">
        <v>31</v>
      </c>
    </row>
    <row r="11" customFormat="false" ht="14.25" hidden="false" customHeight="true" outlineLevel="0" collapsed="false">
      <c r="A11" s="9" t="s">
        <v>32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1" t="n">
        <v>2000000</v>
      </c>
      <c r="M11" s="10"/>
      <c r="N11" s="10"/>
      <c r="O11" s="10"/>
      <c r="P11" s="10"/>
      <c r="Q11" s="10"/>
      <c r="R11" s="12" t="n">
        <f aca="false">SUM(B11:Q11)</f>
        <v>2000000</v>
      </c>
      <c r="S11" s="11" t="n">
        <v>2000000</v>
      </c>
      <c r="T11" s="10" t="n">
        <f aca="false">S11-R11</f>
        <v>0</v>
      </c>
      <c r="U11" s="13" t="s">
        <v>33</v>
      </c>
    </row>
    <row r="12" customFormat="false" ht="34.5" hidden="false" customHeight="true" outlineLevel="0" collapsed="false">
      <c r="A12" s="9" t="s">
        <v>34</v>
      </c>
      <c r="B12" s="10"/>
      <c r="C12" s="10"/>
      <c r="D12" s="10"/>
      <c r="E12" s="10"/>
      <c r="F12" s="11" t="n">
        <v>108350</v>
      </c>
      <c r="G12" s="10"/>
      <c r="H12" s="10"/>
      <c r="I12" s="10"/>
      <c r="J12" s="11" t="n">
        <v>48350</v>
      </c>
      <c r="K12" s="10"/>
      <c r="L12" s="10"/>
      <c r="M12" s="10"/>
      <c r="N12" s="11" t="n">
        <v>67850</v>
      </c>
      <c r="O12" s="10"/>
      <c r="P12" s="10"/>
      <c r="Q12" s="10"/>
      <c r="R12" s="12" t="n">
        <f aca="false">SUM(B12:Q12)</f>
        <v>224550</v>
      </c>
      <c r="S12" s="11" t="n">
        <v>423250</v>
      </c>
      <c r="T12" s="10" t="n">
        <f aca="false">S12-R12</f>
        <v>198700</v>
      </c>
      <c r="U12" s="13" t="s">
        <v>35</v>
      </c>
    </row>
    <row r="13" customFormat="false" ht="14.25" hidden="false" customHeight="true" outlineLevel="0" collapsed="false">
      <c r="A13" s="14" t="s">
        <v>36</v>
      </c>
      <c r="B13" s="15" t="n">
        <f aca="false">B7+B8+B9+B10+B11+B12</f>
        <v>0</v>
      </c>
      <c r="C13" s="15" t="n">
        <f aca="false">C7+C8+C9+C10+C11+C12</f>
        <v>0</v>
      </c>
      <c r="D13" s="15" t="n">
        <f aca="false">D7+D8+D9+D10+D11+D12</f>
        <v>0</v>
      </c>
      <c r="E13" s="15" t="n">
        <f aca="false">E7+E8+E9+E10+E11+E12</f>
        <v>113000</v>
      </c>
      <c r="F13" s="15" t="n">
        <f aca="false">F7+F8+F9+F10+F11+F12</f>
        <v>108350</v>
      </c>
      <c r="G13" s="15" t="n">
        <f aca="false">G7+G8+G9+G10+G11+G12</f>
        <v>150000</v>
      </c>
      <c r="H13" s="15" t="n">
        <f aca="false">H7+H8+H9+H10+H11+H12</f>
        <v>800000</v>
      </c>
      <c r="I13" s="15" t="n">
        <f aca="false">I7+I8+I9+I10+I11+I12</f>
        <v>43000</v>
      </c>
      <c r="J13" s="15" t="n">
        <f aca="false">J7+J8+J9+J10+J11+J12</f>
        <v>48350</v>
      </c>
      <c r="K13" s="15" t="n">
        <f aca="false">K7+K8+K9+K10+K11+K12</f>
        <v>150000</v>
      </c>
      <c r="L13" s="15" t="n">
        <f aca="false">L7+L8+L9+L10+L11+L12</f>
        <v>2000000</v>
      </c>
      <c r="M13" s="15" t="n">
        <f aca="false">M7+M8+M9+M10+M11+M12</f>
        <v>43000</v>
      </c>
      <c r="N13" s="15" t="n">
        <f aca="false">N7+N8+N9+N10+N11+N12</f>
        <v>67850</v>
      </c>
      <c r="O13" s="15" t="n">
        <f aca="false">O7+O8+O9+O10+O11+O12</f>
        <v>150000</v>
      </c>
      <c r="P13" s="15" t="n">
        <f aca="false">P7+P8+P9+P10+P11+P12</f>
        <v>0</v>
      </c>
      <c r="Q13" s="15" t="n">
        <f aca="false">Q7+Q8+Q9+Q10+Q11+Q12</f>
        <v>43000</v>
      </c>
      <c r="R13" s="15" t="n">
        <f aca="false">SUM(B13:Q13)</f>
        <v>3716550</v>
      </c>
      <c r="S13" s="15" t="n">
        <f aca="false">S7+S8+S9+S10+S11+S12</f>
        <v>3915250</v>
      </c>
      <c r="T13" s="15" t="n">
        <f aca="false">T7+T8+T9+T10+T11+T12</f>
        <v>198700</v>
      </c>
    </row>
    <row r="14" customFormat="false" ht="22.5" hidden="false" customHeight="true" outlineLevel="0" collapsed="false">
      <c r="A14" s="16" t="s">
        <v>37</v>
      </c>
      <c r="R14" s="17" t="n">
        <v>198700</v>
      </c>
      <c r="U14" s="18" t="s">
        <v>38</v>
      </c>
    </row>
    <row r="16" customFormat="false" ht="18" hidden="false" customHeight="true" outlineLevel="0" collapsed="false">
      <c r="A16" s="7" t="s">
        <v>39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customFormat="false" ht="21.75" hidden="false" customHeight="true" outlineLevel="0" collapsed="false">
      <c r="A17" s="9" t="s">
        <v>40</v>
      </c>
      <c r="B17" s="12"/>
      <c r="C17" s="12"/>
      <c r="D17" s="12"/>
      <c r="E17" s="12" t="n">
        <v>0</v>
      </c>
      <c r="F17" s="12"/>
      <c r="G17" s="12"/>
      <c r="H17" s="12"/>
      <c r="I17" s="12" t="n">
        <v>188.49</v>
      </c>
      <c r="J17" s="12"/>
      <c r="K17" s="12"/>
      <c r="L17" s="12"/>
      <c r="M17" s="12" t="n">
        <v>6276.72</v>
      </c>
      <c r="N17" s="12"/>
      <c r="O17" s="12"/>
      <c r="P17" s="12"/>
      <c r="Q17" s="12" t="n">
        <v>6517.17</v>
      </c>
      <c r="R17" s="12" t="n">
        <f aca="false">SUM(B17:Q17)</f>
        <v>12982.38</v>
      </c>
      <c r="S17" s="11" t="n">
        <v>0</v>
      </c>
      <c r="T17" s="10" t="n">
        <f aca="false">S17-R17</f>
        <v>-12982.38</v>
      </c>
      <c r="U17" s="19" t="s">
        <v>41</v>
      </c>
    </row>
    <row r="18" customFormat="false" ht="21.75" hidden="false" customHeight="true" outlineLevel="0" collapsed="false">
      <c r="A18" s="20" t="s">
        <v>42</v>
      </c>
      <c r="B18" s="15"/>
      <c r="C18" s="15"/>
      <c r="D18" s="15"/>
      <c r="E18" s="15" t="n">
        <v>2120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 t="n">
        <f aca="false">SUM(B18:Q18)</f>
        <v>2120</v>
      </c>
      <c r="S18" s="15" t="n">
        <f aca="false">S17</f>
        <v>0</v>
      </c>
      <c r="T18" s="15" t="n">
        <f aca="false">T17</f>
        <v>-12982.38</v>
      </c>
      <c r="U18" s="19" t="s">
        <v>43</v>
      </c>
    </row>
    <row r="19" customFormat="false" ht="21.75" hidden="false" customHeight="true" outlineLevel="0" collapsed="false">
      <c r="A19" s="20" t="s">
        <v>44</v>
      </c>
      <c r="B19" s="15" t="n">
        <v>0</v>
      </c>
      <c r="C19" s="15" t="n">
        <v>0</v>
      </c>
      <c r="D19" s="15" t="n">
        <v>0</v>
      </c>
      <c r="E19" s="15" t="n">
        <v>0</v>
      </c>
      <c r="F19" s="15" t="n">
        <f aca="false">'Circuit public'!C21/4</f>
        <v>2379.68395</v>
      </c>
      <c r="G19" s="15" t="n">
        <f aca="false">'Circuit public'!C21/4</f>
        <v>2379.68395</v>
      </c>
      <c r="H19" s="15" t="n">
        <f aca="false">'Circuit public'!C21/4</f>
        <v>2379.68395</v>
      </c>
      <c r="I19" s="15" t="n">
        <f aca="false">'Circuit public'!C21/4</f>
        <v>2379.68395</v>
      </c>
      <c r="J19" s="15" t="n">
        <f aca="false">'Circuit public'!D21/4</f>
        <v>4846.700825</v>
      </c>
      <c r="K19" s="15" t="n">
        <f aca="false">'Circuit public'!D21/4</f>
        <v>4846.700825</v>
      </c>
      <c r="L19" s="15" t="n">
        <f aca="false">'Circuit public'!D21/4</f>
        <v>4846.700825</v>
      </c>
      <c r="M19" s="15" t="n">
        <f aca="false">'Circuit public'!D21/4</f>
        <v>4846.700825</v>
      </c>
      <c r="N19" s="15" t="n">
        <f aca="false">'Circuit public'!E21/4</f>
        <v>7174.7776</v>
      </c>
      <c r="O19" s="15" t="n">
        <f aca="false">'Circuit public'!E21/4</f>
        <v>7174.7776</v>
      </c>
      <c r="P19" s="15" t="n">
        <f aca="false">'Circuit public'!E21/4</f>
        <v>7174.7776</v>
      </c>
      <c r="Q19" s="15" t="n">
        <f aca="false">'Circuit public'!E21/4</f>
        <v>7174.7776</v>
      </c>
      <c r="R19" s="15" t="n">
        <f aca="false">SUM(B19:Q19)</f>
        <v>57604.6495</v>
      </c>
      <c r="S19" s="15"/>
      <c r="T19" s="15"/>
      <c r="U19" s="1" t="s">
        <v>45</v>
      </c>
    </row>
    <row r="20" customFormat="false" ht="18" hidden="false" customHeight="true" outlineLevel="0" collapsed="false">
      <c r="A20" s="14" t="s">
        <v>46</v>
      </c>
      <c r="B20" s="21" t="n">
        <f aca="false">SUM(B17:B19)</f>
        <v>0</v>
      </c>
      <c r="C20" s="21" t="n">
        <f aca="false">SUM(C17:C19)</f>
        <v>0</v>
      </c>
      <c r="D20" s="21" t="n">
        <f aca="false">SUM(D17:D19)</f>
        <v>0</v>
      </c>
      <c r="E20" s="21" t="n">
        <f aca="false">SUM(E17:E19)</f>
        <v>2120</v>
      </c>
      <c r="F20" s="21" t="n">
        <f aca="false">SUM(F17:F19)</f>
        <v>2379.68395</v>
      </c>
      <c r="G20" s="21" t="n">
        <f aca="false">SUM(G17:G19)</f>
        <v>2379.68395</v>
      </c>
      <c r="H20" s="21" t="n">
        <f aca="false">SUM(H17:H19)</f>
        <v>2379.68395</v>
      </c>
      <c r="I20" s="21" t="n">
        <f aca="false">SUM(I17:I19)</f>
        <v>2568.17395</v>
      </c>
      <c r="J20" s="21" t="n">
        <f aca="false">SUM(J17:J19)</f>
        <v>4846.700825</v>
      </c>
      <c r="K20" s="21" t="n">
        <f aca="false">SUM(K17:K19)</f>
        <v>4846.700825</v>
      </c>
      <c r="L20" s="21" t="n">
        <f aca="false">SUM(L17:L19)</f>
        <v>4846.700825</v>
      </c>
      <c r="M20" s="21" t="n">
        <f aca="false">SUM(M17:M19)</f>
        <v>11123.420825</v>
      </c>
      <c r="N20" s="21" t="n">
        <f aca="false">SUM(N17:N19)</f>
        <v>7174.7776</v>
      </c>
      <c r="O20" s="21" t="n">
        <f aca="false">SUM(O17:O19)</f>
        <v>7174.7776</v>
      </c>
      <c r="P20" s="21" t="n">
        <f aca="false">SUM(P17:P19)</f>
        <v>7174.7776</v>
      </c>
      <c r="Q20" s="21" t="n">
        <f aca="false">SUM(Q17:Q19)</f>
        <v>13691.9476</v>
      </c>
      <c r="R20" s="15" t="n">
        <f aca="false">SUM(B20:Q20)</f>
        <v>72707.0295</v>
      </c>
      <c r="S20" s="15"/>
      <c r="T20" s="15"/>
    </row>
    <row r="21" customFormat="false" ht="22.5" hidden="false" customHeight="true" outlineLevel="0" collapsed="false">
      <c r="A21" s="7" t="s">
        <v>47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customFormat="false" ht="14.25" hidden="false" customHeight="true" outlineLevel="0" collapsed="false">
      <c r="A22" s="9" t="s">
        <v>48</v>
      </c>
      <c r="B22" s="10"/>
      <c r="C22" s="10"/>
      <c r="D22" s="10"/>
      <c r="E22" s="10"/>
      <c r="F22" s="10"/>
      <c r="G22" s="10"/>
      <c r="H22" s="11" t="n">
        <f aca="false">'Circuit public'!C18/2</f>
        <v>2842.8307</v>
      </c>
      <c r="I22" s="11" t="n">
        <f aca="false">'Circuit public'!C18/2</f>
        <v>2842.8307</v>
      </c>
      <c r="J22" s="11" t="n">
        <f aca="false">'Circuit public'!D18/4</f>
        <v>2899.687325</v>
      </c>
      <c r="K22" s="11" t="n">
        <f aca="false">'Circuit public'!D18/4</f>
        <v>2899.687325</v>
      </c>
      <c r="L22" s="11" t="n">
        <f aca="false">'Circuit public'!D18/4</f>
        <v>2899.687325</v>
      </c>
      <c r="M22" s="11" t="n">
        <f aca="false">'Circuit public'!D18/4</f>
        <v>2899.687325</v>
      </c>
      <c r="N22" s="11" t="n">
        <f aca="false">'Circuit public'!E18/4</f>
        <v>2957.681075</v>
      </c>
      <c r="O22" s="11" t="n">
        <f aca="false">'Circuit public'!E18/4</f>
        <v>2957.681075</v>
      </c>
      <c r="P22" s="11" t="n">
        <f aca="false">'Circuit public'!E18/4</f>
        <v>2957.681075</v>
      </c>
      <c r="Q22" s="11" t="n">
        <f aca="false">'Circuit public'!E18/4</f>
        <v>2957.681075</v>
      </c>
      <c r="R22" s="12" t="n">
        <f aca="false">SUM(B22:Q22)</f>
        <v>29115.135</v>
      </c>
      <c r="U22" s="13" t="s">
        <v>49</v>
      </c>
    </row>
    <row r="23" customFormat="false" ht="14.25" hidden="false" customHeight="true" outlineLevel="0" collapsed="false">
      <c r="A23" s="9" t="s">
        <v>50</v>
      </c>
      <c r="B23" s="22" t="n">
        <v>0</v>
      </c>
      <c r="C23" s="22" t="n">
        <v>0</v>
      </c>
      <c r="D23" s="22" t="n">
        <v>0</v>
      </c>
      <c r="E23" s="22" t="n">
        <v>0</v>
      </c>
      <c r="F23" s="22"/>
      <c r="G23" s="22" t="n">
        <v>8000</v>
      </c>
      <c r="H23" s="22"/>
      <c r="I23" s="22"/>
      <c r="J23" s="22"/>
      <c r="K23" s="22" t="n">
        <v>8000</v>
      </c>
      <c r="L23" s="22"/>
      <c r="M23" s="22"/>
      <c r="N23" s="22"/>
      <c r="O23" s="22" t="n">
        <v>8000</v>
      </c>
      <c r="P23" s="22"/>
      <c r="Q23" s="22"/>
      <c r="R23" s="12" t="n">
        <f aca="false">SUM(B23:Q23)</f>
        <v>24000</v>
      </c>
      <c r="U23" s="13" t="s">
        <v>51</v>
      </c>
    </row>
    <row r="24" customFormat="false" ht="14.25" hidden="false" customHeight="true" outlineLevel="0" collapsed="false">
      <c r="A24" s="9" t="s">
        <v>52</v>
      </c>
      <c r="B24" s="22" t="n">
        <v>0</v>
      </c>
      <c r="C24" s="22" t="n">
        <v>0</v>
      </c>
      <c r="D24" s="22" t="n">
        <v>0</v>
      </c>
      <c r="E24" s="22" t="n">
        <v>0</v>
      </c>
      <c r="F24" s="22"/>
      <c r="G24" s="22"/>
      <c r="H24" s="22"/>
      <c r="I24" s="22" t="n">
        <v>3000</v>
      </c>
      <c r="J24" s="22"/>
      <c r="K24" s="22"/>
      <c r="L24" s="22"/>
      <c r="M24" s="22" t="n">
        <v>4000</v>
      </c>
      <c r="N24" s="22"/>
      <c r="O24" s="22"/>
      <c r="P24" s="22"/>
      <c r="Q24" s="22" t="n">
        <v>6000</v>
      </c>
      <c r="R24" s="12" t="n">
        <f aca="false">SUM(B24:Q24)</f>
        <v>13000</v>
      </c>
      <c r="U24" s="13" t="s">
        <v>53</v>
      </c>
    </row>
    <row r="25" customFormat="false" ht="14.25" hidden="false" customHeight="true" outlineLevel="0" collapsed="false">
      <c r="A25" s="9" t="s">
        <v>54</v>
      </c>
      <c r="B25" s="22" t="n">
        <v>0</v>
      </c>
      <c r="C25" s="22" t="n">
        <v>0</v>
      </c>
      <c r="D25" s="22" t="n">
        <v>0</v>
      </c>
      <c r="E25" s="22" t="n">
        <v>0</v>
      </c>
      <c r="F25" s="22" t="n">
        <v>0</v>
      </c>
      <c r="G25" s="22" t="n">
        <v>0</v>
      </c>
      <c r="H25" s="22" t="n">
        <v>0</v>
      </c>
      <c r="I25" s="22" t="n">
        <v>0</v>
      </c>
      <c r="J25" s="22" t="n">
        <v>15000</v>
      </c>
      <c r="K25" s="22"/>
      <c r="L25" s="22"/>
      <c r="M25" s="22"/>
      <c r="N25" s="22" t="n">
        <v>15000</v>
      </c>
      <c r="O25" s="22"/>
      <c r="P25" s="22"/>
      <c r="Q25" s="22"/>
      <c r="R25" s="12" t="n">
        <f aca="false">SUM(B25:Q25)</f>
        <v>30000</v>
      </c>
      <c r="U25" s="13" t="s">
        <v>55</v>
      </c>
    </row>
    <row r="26" customFormat="false" ht="14.25" hidden="false" customHeight="true" outlineLevel="0" collapsed="false">
      <c r="A26" s="9" t="s">
        <v>56</v>
      </c>
      <c r="B26" s="22"/>
      <c r="C26" s="22"/>
      <c r="D26" s="22"/>
      <c r="E26" s="22" t="n">
        <v>300</v>
      </c>
      <c r="F26" s="22" t="n">
        <v>125</v>
      </c>
      <c r="G26" s="22" t="n">
        <v>125</v>
      </c>
      <c r="H26" s="22" t="n">
        <v>125</v>
      </c>
      <c r="I26" s="22" t="n">
        <v>125</v>
      </c>
      <c r="J26" s="22" t="n">
        <v>250</v>
      </c>
      <c r="K26" s="22" t="n">
        <v>250</v>
      </c>
      <c r="L26" s="22" t="n">
        <v>250</v>
      </c>
      <c r="M26" s="22" t="n">
        <v>250</v>
      </c>
      <c r="N26" s="22" t="n">
        <v>250</v>
      </c>
      <c r="O26" s="22" t="n">
        <v>250</v>
      </c>
      <c r="P26" s="22" t="n">
        <v>250</v>
      </c>
      <c r="Q26" s="22" t="n">
        <v>250</v>
      </c>
      <c r="R26" s="12" t="n">
        <f aca="false">SUM(B26:Q26)</f>
        <v>2800</v>
      </c>
      <c r="U26" s="13" t="s">
        <v>57</v>
      </c>
    </row>
    <row r="27" customFormat="false" ht="14.25" hidden="false" customHeight="true" outlineLevel="0" collapsed="false">
      <c r="A27" s="9" t="s">
        <v>58</v>
      </c>
      <c r="B27" s="22" t="n">
        <v>0</v>
      </c>
      <c r="C27" s="22" t="n">
        <v>0</v>
      </c>
      <c r="D27" s="22" t="n">
        <v>0</v>
      </c>
      <c r="E27" s="22" t="n">
        <v>0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2500</v>
      </c>
      <c r="K27" s="22" t="n">
        <v>2500</v>
      </c>
      <c r="L27" s="22" t="n">
        <v>2500</v>
      </c>
      <c r="M27" s="22" t="n">
        <v>2500</v>
      </c>
      <c r="N27" s="22" t="n">
        <v>2500</v>
      </c>
      <c r="O27" s="22" t="n">
        <v>2500</v>
      </c>
      <c r="P27" s="22" t="n">
        <v>2500</v>
      </c>
      <c r="Q27" s="22" t="n">
        <v>2500</v>
      </c>
      <c r="R27" s="12" t="n">
        <f aca="false">SUM(B27:Q27)</f>
        <v>20000</v>
      </c>
      <c r="U27" s="13" t="s">
        <v>59</v>
      </c>
    </row>
    <row r="28" customFormat="false" ht="14.25" hidden="false" customHeight="true" outlineLevel="0" collapsed="false">
      <c r="A28" s="9" t="s">
        <v>60</v>
      </c>
      <c r="B28" s="22" t="n">
        <v>0</v>
      </c>
      <c r="C28" s="22" t="n">
        <v>0</v>
      </c>
      <c r="D28" s="22" t="n">
        <v>0</v>
      </c>
      <c r="E28" s="22" t="n">
        <v>0</v>
      </c>
      <c r="F28" s="22" t="n">
        <f aca="false">'Circuit public'!C19/4</f>
        <v>147.4571</v>
      </c>
      <c r="G28" s="22" t="n">
        <f aca="false">'Circuit public'!C19/4</f>
        <v>147.4571</v>
      </c>
      <c r="H28" s="22" t="n">
        <f aca="false">'Circuit public'!C19/4</f>
        <v>147.4571</v>
      </c>
      <c r="I28" s="22" t="n">
        <f aca="false">'Circuit public'!C19/4</f>
        <v>147.4571</v>
      </c>
      <c r="J28" s="22" t="n">
        <f aca="false">'Circuit public'!D19/4</f>
        <v>291.242075</v>
      </c>
      <c r="K28" s="22" t="n">
        <f aca="false">'Circuit public'!D19/4</f>
        <v>291.242075</v>
      </c>
      <c r="L28" s="22" t="n">
        <f aca="false">'Circuit public'!D19/4</f>
        <v>291.242075</v>
      </c>
      <c r="M28" s="22" t="n">
        <f aca="false">'Circuit public'!D19/4</f>
        <v>291.242075</v>
      </c>
      <c r="N28" s="22" t="n">
        <f aca="false">'Circuit public'!E19/4</f>
        <v>293.3615</v>
      </c>
      <c r="O28" s="22" t="n">
        <f aca="false">'Circuit public'!E19/4</f>
        <v>293.3615</v>
      </c>
      <c r="P28" s="22" t="n">
        <f aca="false">'Circuit public'!E19/4</f>
        <v>293.3615</v>
      </c>
      <c r="Q28" s="22" t="n">
        <f aca="false">'Circuit public'!E19/4</f>
        <v>293.3615</v>
      </c>
      <c r="R28" s="12" t="n">
        <f aca="false">SUM(B28:Q28)</f>
        <v>2928.2427</v>
      </c>
      <c r="U28" s="19" t="s">
        <v>61</v>
      </c>
    </row>
    <row r="29" customFormat="false" ht="14.25" hidden="false" customHeight="true" outlineLevel="0" collapsed="false">
      <c r="A29" s="9" t="s">
        <v>62</v>
      </c>
      <c r="B29" s="22" t="n">
        <v>0</v>
      </c>
      <c r="C29" s="22" t="n">
        <v>0</v>
      </c>
      <c r="D29" s="22" t="n">
        <v>0</v>
      </c>
      <c r="E29" s="22" t="n">
        <v>0</v>
      </c>
      <c r="F29" s="22" t="n">
        <v>0</v>
      </c>
      <c r="G29" s="22" t="n">
        <v>0</v>
      </c>
      <c r="H29" s="22" t="n">
        <v>2175</v>
      </c>
      <c r="I29" s="22" t="n">
        <v>2175</v>
      </c>
      <c r="J29" s="22" t="n">
        <v>2253</v>
      </c>
      <c r="K29" s="22" t="n">
        <v>2253</v>
      </c>
      <c r="L29" s="22" t="n">
        <v>2253</v>
      </c>
      <c r="M29" s="22" t="n">
        <v>2253</v>
      </c>
      <c r="N29" s="22" t="n">
        <v>2256.5</v>
      </c>
      <c r="O29" s="22" t="n">
        <v>2256.5</v>
      </c>
      <c r="P29" s="22" t="n">
        <v>2256.5</v>
      </c>
      <c r="Q29" s="22" t="n">
        <v>2256.5</v>
      </c>
      <c r="R29" s="12" t="n">
        <f aca="false">SUM(B29:Q29)</f>
        <v>22388</v>
      </c>
      <c r="U29" s="19" t="s">
        <v>63</v>
      </c>
    </row>
    <row r="30" customFormat="false" ht="14.25" hidden="false" customHeight="true" outlineLevel="0" collapsed="false">
      <c r="A30" s="9" t="s">
        <v>64</v>
      </c>
      <c r="B30" s="22" t="n">
        <v>0</v>
      </c>
      <c r="C30" s="22" t="n">
        <v>0</v>
      </c>
      <c r="D30" s="22" t="n">
        <v>0</v>
      </c>
      <c r="E30" s="22" t="n">
        <v>0</v>
      </c>
      <c r="F30" s="22" t="n">
        <v>0</v>
      </c>
      <c r="G30" s="22" t="n">
        <v>0</v>
      </c>
      <c r="H30" s="22" t="n">
        <v>10000</v>
      </c>
      <c r="I30" s="22" t="n">
        <v>0</v>
      </c>
      <c r="J30" s="22" t="n">
        <v>0</v>
      </c>
      <c r="K30" s="22" t="n">
        <v>0</v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12" t="n">
        <f aca="false">SUM(B30:Q30)</f>
        <v>10000</v>
      </c>
      <c r="U30" s="19" t="s">
        <v>65</v>
      </c>
    </row>
    <row r="31" customFormat="false" ht="14.25" hidden="false" customHeight="true" outlineLevel="0" collapsed="false">
      <c r="A31" s="9" t="s">
        <v>66</v>
      </c>
      <c r="B31" s="22" t="n">
        <v>0</v>
      </c>
      <c r="C31" s="22" t="n">
        <v>0</v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100</v>
      </c>
      <c r="I31" s="22" t="n">
        <v>100</v>
      </c>
      <c r="J31" s="22" t="n">
        <v>25</v>
      </c>
      <c r="K31" s="22" t="n">
        <v>25</v>
      </c>
      <c r="L31" s="22" t="n">
        <v>25</v>
      </c>
      <c r="M31" s="22" t="n">
        <v>25</v>
      </c>
      <c r="N31" s="22" t="n">
        <v>25</v>
      </c>
      <c r="O31" s="22" t="n">
        <v>25</v>
      </c>
      <c r="P31" s="22" t="n">
        <v>25</v>
      </c>
      <c r="Q31" s="22" t="n">
        <v>25</v>
      </c>
      <c r="R31" s="12" t="n">
        <f aca="false">SUM(B31:Q31)</f>
        <v>400</v>
      </c>
      <c r="U31" s="19" t="s">
        <v>67</v>
      </c>
    </row>
    <row r="32" customFormat="false" ht="14.25" hidden="false" customHeight="true" outlineLevel="0" collapsed="false">
      <c r="A32" s="14" t="s">
        <v>68</v>
      </c>
      <c r="B32" s="15" t="n">
        <f aca="false">B22+B23+B24+B25+B26+B27+B28+B29+B30+B31</f>
        <v>0</v>
      </c>
      <c r="C32" s="15" t="n">
        <f aca="false">C22+C23+C24+C25+C26+C27+C28+C29+C30+C31</f>
        <v>0</v>
      </c>
      <c r="D32" s="15" t="n">
        <f aca="false">D22+D23+D24+D25+D26+D27+D28+D29+D30+D31</f>
        <v>0</v>
      </c>
      <c r="E32" s="15" t="n">
        <f aca="false">E22+E23+E24+E25+E26+E27+E28+E29+E30+E31</f>
        <v>300</v>
      </c>
      <c r="F32" s="15" t="n">
        <f aca="false">F22+F23+F24+F25+F26+F27+F28+F29+F30+F31</f>
        <v>272.4571</v>
      </c>
      <c r="G32" s="15" t="n">
        <f aca="false">G22+G23+G24+G25+G26+G27+G28+G29+G30+G31</f>
        <v>8272.4571</v>
      </c>
      <c r="H32" s="15" t="n">
        <f aca="false">H22+H23+H24+H25+H26+H27+H28+H29+H30+H31</f>
        <v>15390.2878</v>
      </c>
      <c r="I32" s="15" t="n">
        <f aca="false">I22+I23+I24+I25+I26+I27+I28+I29+I30+I31</f>
        <v>8390.2878</v>
      </c>
      <c r="J32" s="15" t="n">
        <f aca="false">J22+J23+J24+J25+J26+J27+J28+J29+J30+J31</f>
        <v>23218.9294</v>
      </c>
      <c r="K32" s="15" t="n">
        <f aca="false">K22+K23+K24+K25+K26+K27+K28+K29+K30+K31</f>
        <v>16218.9294</v>
      </c>
      <c r="L32" s="15" t="n">
        <f aca="false">L22+L23+L24+L25+L26+L27+L28+L29+L30+L31</f>
        <v>8218.9294</v>
      </c>
      <c r="M32" s="15" t="n">
        <f aca="false">M22+M23+M24+M25+M26+M27+M28+M29+M30+M31</f>
        <v>12218.9294</v>
      </c>
      <c r="N32" s="15" t="n">
        <f aca="false">N22+N23+N24+N25+N26+N27+N28+N29+N30+N31</f>
        <v>23282.542575</v>
      </c>
      <c r="O32" s="15" t="n">
        <f aca="false">O22+O23+O24+O25+O26+O27+O28+O29+O30+O31</f>
        <v>16282.542575</v>
      </c>
      <c r="P32" s="15" t="n">
        <f aca="false">P22+P23+P24+P25+P26+P27+P28+P29+P30+P31</f>
        <v>8282.542575</v>
      </c>
      <c r="Q32" s="15" t="n">
        <f aca="false">Q22+Q23+Q24+Q25+Q26+Q27+Q28+Q29+Q30+Q31</f>
        <v>14282.542575</v>
      </c>
      <c r="R32" s="15" t="n">
        <f aca="false">SUM(B32:Q32)</f>
        <v>154631.3777</v>
      </c>
      <c r="U32" s="13" t="s">
        <v>69</v>
      </c>
    </row>
    <row r="33" customFormat="false" ht="14.25" hidden="false" customHeight="true" outlineLevel="0" collapsed="false"/>
    <row r="34" customFormat="false" ht="14.25" hidden="false" customHeight="true" outlineLevel="0" collapsed="false">
      <c r="A34" s="7" t="s">
        <v>70</v>
      </c>
      <c r="B34" s="23" t="n">
        <f aca="false">B13+B20+B32</f>
        <v>0</v>
      </c>
      <c r="C34" s="23" t="n">
        <f aca="false">C13+C20+C32</f>
        <v>0</v>
      </c>
      <c r="D34" s="23" t="n">
        <f aca="false">D13+D20+D32</f>
        <v>0</v>
      </c>
      <c r="E34" s="23" t="n">
        <f aca="false">E13+E20+E32</f>
        <v>115420</v>
      </c>
      <c r="F34" s="23" t="n">
        <f aca="false">F13+F20+F32</f>
        <v>111002.14105</v>
      </c>
      <c r="G34" s="23" t="n">
        <f aca="false">G13+G20+G32</f>
        <v>160652.14105</v>
      </c>
      <c r="H34" s="23" t="n">
        <f aca="false">H13+H20+H32</f>
        <v>817769.97175</v>
      </c>
      <c r="I34" s="23" t="n">
        <f aca="false">I13+I20+I32</f>
        <v>53958.46175</v>
      </c>
      <c r="J34" s="23" t="n">
        <f aca="false">J13+J20+J32</f>
        <v>76415.630225</v>
      </c>
      <c r="K34" s="23" t="n">
        <f aca="false">K13+K20+K32</f>
        <v>171065.630225</v>
      </c>
      <c r="L34" s="23" t="n">
        <f aca="false">L13+L20+L32</f>
        <v>2013065.630225</v>
      </c>
      <c r="M34" s="23" t="n">
        <f aca="false">M13+M20+M32</f>
        <v>66342.350225</v>
      </c>
      <c r="N34" s="23" t="n">
        <f aca="false">N13+N20+N32</f>
        <v>98307.320175</v>
      </c>
      <c r="O34" s="23" t="n">
        <f aca="false">O13+O20+O32</f>
        <v>173457.320175</v>
      </c>
      <c r="P34" s="23" t="n">
        <f aca="false">P13+P20+P32</f>
        <v>15457.320175</v>
      </c>
      <c r="Q34" s="23" t="n">
        <f aca="false">Q13+Q20+Q32</f>
        <v>70974.490175</v>
      </c>
      <c r="R34" s="23" t="n">
        <f aca="false">SUM(B34:Q34)</f>
        <v>3943888.4072</v>
      </c>
      <c r="S34" s="8"/>
      <c r="T34" s="8"/>
      <c r="U34" s="8"/>
    </row>
    <row r="35" customFormat="false" ht="14.25" hidden="false" customHeight="true" outlineLevel="0" collapsed="false">
      <c r="A35" s="14" t="s">
        <v>71</v>
      </c>
      <c r="B35" s="15" t="n">
        <f aca="false">B34</f>
        <v>0</v>
      </c>
      <c r="C35" s="15" t="n">
        <f aca="false">B35+C34</f>
        <v>0</v>
      </c>
      <c r="D35" s="15" t="n">
        <f aca="false">C35+D34</f>
        <v>0</v>
      </c>
      <c r="E35" s="15" t="n">
        <f aca="false">D35+E34</f>
        <v>115420</v>
      </c>
      <c r="F35" s="15" t="n">
        <f aca="false">E35+F34</f>
        <v>226422.14105</v>
      </c>
      <c r="G35" s="15" t="n">
        <f aca="false">F35+G34</f>
        <v>387074.2821</v>
      </c>
      <c r="H35" s="15" t="n">
        <f aca="false">G35+H34</f>
        <v>1204844.25385</v>
      </c>
      <c r="I35" s="15" t="n">
        <f aca="false">H35+I34</f>
        <v>1258802.7156</v>
      </c>
      <c r="J35" s="15" t="n">
        <f aca="false">I35+J34</f>
        <v>1335218.345825</v>
      </c>
      <c r="K35" s="15" t="n">
        <f aca="false">J35+K34</f>
        <v>1506283.97605</v>
      </c>
      <c r="L35" s="15" t="n">
        <f aca="false">K35+L34</f>
        <v>3519349.606275</v>
      </c>
      <c r="M35" s="15" t="n">
        <f aca="false">L35+M34</f>
        <v>3585691.9565</v>
      </c>
      <c r="N35" s="15" t="n">
        <f aca="false">M35+N34</f>
        <v>3683999.276675</v>
      </c>
      <c r="O35" s="15" t="n">
        <f aca="false">N35+O34</f>
        <v>3857456.59685</v>
      </c>
      <c r="P35" s="15" t="n">
        <f aca="false">O35+P34</f>
        <v>3872913.917025</v>
      </c>
      <c r="Q35" s="15" t="n">
        <f aca="false">P35+Q34</f>
        <v>3943888.4072</v>
      </c>
    </row>
    <row r="36" customFormat="false" ht="18" hidden="false" customHeight="true" outlineLevel="0" collapsed="false"/>
    <row r="37" customFormat="false" ht="14.25" hidden="false" customHeight="true" outlineLevel="0" collapsed="false">
      <c r="A37" s="7" t="s">
        <v>72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 customFormat="false" ht="22.5" hidden="false" customHeight="true" outlineLevel="0" collapsed="false">
      <c r="A38" s="9" t="s">
        <v>73</v>
      </c>
      <c r="B38" s="10"/>
      <c r="C38" s="10"/>
      <c r="D38" s="10" t="n">
        <v>15000</v>
      </c>
      <c r="E38" s="11" t="n">
        <v>0</v>
      </c>
      <c r="F38" s="11" t="n">
        <v>15000</v>
      </c>
      <c r="G38" s="10"/>
      <c r="H38" s="10"/>
      <c r="I38" s="11" t="n">
        <v>15000</v>
      </c>
      <c r="J38" s="10"/>
      <c r="K38" s="10"/>
      <c r="L38" s="10"/>
      <c r="M38" s="10"/>
      <c r="N38" s="10"/>
      <c r="O38" s="10"/>
      <c r="P38" s="10"/>
      <c r="Q38" s="10"/>
      <c r="R38" s="12" t="n">
        <f aca="false">SUM(B38:Q38)</f>
        <v>45000</v>
      </c>
      <c r="U38" s="13" t="s">
        <v>74</v>
      </c>
    </row>
    <row r="39" customFormat="false" ht="22.5" hidden="false" customHeight="true" outlineLevel="0" collapsed="false">
      <c r="A39" s="24" t="s">
        <v>75</v>
      </c>
      <c r="B39" s="25" t="n">
        <f aca="false">B38</f>
        <v>0</v>
      </c>
      <c r="C39" s="25" t="n">
        <f aca="false">B39+C38</f>
        <v>0</v>
      </c>
      <c r="D39" s="25" t="n">
        <f aca="false">C39+D38</f>
        <v>15000</v>
      </c>
      <c r="E39" s="25" t="n">
        <f aca="false">D39+E38</f>
        <v>15000</v>
      </c>
      <c r="F39" s="25" t="n">
        <f aca="false">E39+F38</f>
        <v>30000</v>
      </c>
      <c r="G39" s="25" t="n">
        <f aca="false">F39+G38</f>
        <v>30000</v>
      </c>
      <c r="H39" s="25" t="n">
        <f aca="false">G39+H38</f>
        <v>30000</v>
      </c>
      <c r="I39" s="25" t="n">
        <f aca="false">H39+I38</f>
        <v>45000</v>
      </c>
      <c r="J39" s="25" t="n">
        <f aca="false">I39+J38</f>
        <v>45000</v>
      </c>
      <c r="K39" s="25" t="n">
        <f aca="false">J39+K38</f>
        <v>45000</v>
      </c>
      <c r="L39" s="25" t="n">
        <f aca="false">K39+L38</f>
        <v>45000</v>
      </c>
      <c r="M39" s="25" t="n">
        <f aca="false">L39+M38</f>
        <v>45000</v>
      </c>
      <c r="N39" s="25" t="n">
        <f aca="false">M39+N38</f>
        <v>45000</v>
      </c>
      <c r="O39" s="25" t="n">
        <f aca="false">N39+O38</f>
        <v>45000</v>
      </c>
      <c r="P39" s="25" t="n">
        <f aca="false">O39+P38</f>
        <v>45000</v>
      </c>
      <c r="Q39" s="25" t="n">
        <f aca="false">P39+Q38</f>
        <v>45000</v>
      </c>
      <c r="U39" s="13" t="s">
        <v>76</v>
      </c>
    </row>
    <row r="40" customFormat="false" ht="21.75" hidden="false" customHeight="true" outlineLevel="0" collapsed="false">
      <c r="A40" s="9" t="s">
        <v>77</v>
      </c>
      <c r="B40" s="10" t="n">
        <v>0</v>
      </c>
      <c r="C40" s="10" t="n">
        <f aca="false">B39*$B$67/4</f>
        <v>0</v>
      </c>
      <c r="D40" s="10" t="n">
        <f aca="false">C39*$B$67/4</f>
        <v>0</v>
      </c>
      <c r="E40" s="10" t="n">
        <f aca="false">D39*$B$67/4</f>
        <v>75</v>
      </c>
      <c r="F40" s="10" t="n">
        <f aca="false">E39*$B$67/4</f>
        <v>75</v>
      </c>
      <c r="G40" s="10" t="n">
        <f aca="false">F39*$B$67/4</f>
        <v>150</v>
      </c>
      <c r="H40" s="10" t="n">
        <f aca="false">G39*$B$67/4</f>
        <v>150</v>
      </c>
      <c r="I40" s="10" t="n">
        <f aca="false">H39*$B$67/4</f>
        <v>150</v>
      </c>
      <c r="J40" s="10" t="n">
        <f aca="false">I39*$B$67/4</f>
        <v>225</v>
      </c>
      <c r="K40" s="10" t="n">
        <f aca="false">J39*$B$67/4</f>
        <v>225</v>
      </c>
      <c r="L40" s="10" t="n">
        <f aca="false">K39*$B$67/4</f>
        <v>225</v>
      </c>
      <c r="M40" s="10" t="n">
        <f aca="false">L39*$B$67/4</f>
        <v>225</v>
      </c>
      <c r="N40" s="10" t="n">
        <f aca="false">M39*$B$67/4</f>
        <v>225</v>
      </c>
      <c r="O40" s="10" t="n">
        <f aca="false">N39*$B$67/4</f>
        <v>225</v>
      </c>
      <c r="P40" s="10" t="n">
        <f aca="false">O39*$B$67/4</f>
        <v>225</v>
      </c>
      <c r="Q40" s="10" t="n">
        <f aca="false">P39*$B$67/4</f>
        <v>225</v>
      </c>
      <c r="R40" s="12" t="n">
        <f aca="false">SUM(B40:Q40)</f>
        <v>2400</v>
      </c>
      <c r="U40" s="13" t="s">
        <v>78</v>
      </c>
    </row>
    <row r="41" customFormat="false" ht="18" hidden="false" customHeight="true" outlineLevel="0" collapsed="false"/>
    <row r="42" customFormat="false" ht="22.5" hidden="false" customHeight="true" outlineLevel="0" collapsed="false">
      <c r="A42" s="7" t="s">
        <v>79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customFormat="false" ht="47.25" hidden="false" customHeight="true" outlineLevel="0" collapsed="false">
      <c r="A43" s="26" t="s">
        <v>80</v>
      </c>
      <c r="B43" s="27"/>
      <c r="C43" s="27"/>
      <c r="D43" s="27"/>
      <c r="E43" s="28" t="n">
        <f aca="false">E9+E10+SUM(B20:I20)+SUM(B32:I32)</f>
        <v>157452.7156</v>
      </c>
      <c r="F43" s="27"/>
      <c r="G43" s="27"/>
      <c r="H43" s="27"/>
      <c r="I43" s="27"/>
      <c r="J43" s="27"/>
      <c r="K43" s="29"/>
      <c r="L43" s="27"/>
      <c r="M43" s="27"/>
      <c r="N43" s="27"/>
      <c r="O43" s="27"/>
      <c r="P43" s="27"/>
      <c r="Q43" s="27"/>
      <c r="R43" s="12" t="n">
        <f aca="false">SUM(B43:Q43)</f>
        <v>157452.7156</v>
      </c>
      <c r="U43" s="13" t="s">
        <v>81</v>
      </c>
    </row>
    <row r="44" customFormat="false" ht="27" hidden="false" customHeight="true" outlineLevel="0" collapsed="false">
      <c r="A44" s="30" t="s">
        <v>82</v>
      </c>
      <c r="B44" s="27"/>
      <c r="C44" s="27"/>
      <c r="E44" s="29"/>
      <c r="F44" s="28" t="n">
        <f aca="false">MAX(0,K35-SUM(B40:K40)-R43)+SUM(L20:Q20)+SUM(L32:Q32)+M9+Q9</f>
        <v>1567535.6916</v>
      </c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2" t="n">
        <f aca="false">SUM(B44:Q44)</f>
        <v>1567535.6916</v>
      </c>
      <c r="U44" s="13" t="s">
        <v>83</v>
      </c>
    </row>
    <row r="45" customFormat="false" ht="22.5" hidden="false" customHeight="true" outlineLevel="0" collapsed="false">
      <c r="A45" s="9" t="s">
        <v>84</v>
      </c>
      <c r="B45" s="27"/>
      <c r="C45" s="27"/>
      <c r="D45" s="27"/>
      <c r="E45" s="27"/>
      <c r="F45" s="27"/>
      <c r="G45" s="27"/>
      <c r="H45" s="27"/>
      <c r="I45" s="27"/>
      <c r="J45" s="27"/>
      <c r="K45" s="31" t="n">
        <f aca="false">MAX(0,Q35-SUM(B40:Q40)-R43-R44)</f>
        <v>2216500</v>
      </c>
      <c r="L45" s="27"/>
      <c r="M45" s="27"/>
      <c r="N45" s="27"/>
      <c r="O45" s="27"/>
      <c r="P45" s="27"/>
      <c r="Q45" s="27"/>
      <c r="R45" s="12" t="n">
        <f aca="false">SUM(B45:Q45)</f>
        <v>2216500</v>
      </c>
      <c r="U45" s="13" t="s">
        <v>85</v>
      </c>
    </row>
    <row r="46" customFormat="false" ht="14.25" hidden="false" customHeight="true" outlineLevel="0" collapsed="false">
      <c r="A46" s="9" t="s">
        <v>77</v>
      </c>
      <c r="B46" s="10" t="n">
        <f aca="false">B40</f>
        <v>0</v>
      </c>
      <c r="C46" s="10" t="n">
        <f aca="false">C40</f>
        <v>0</v>
      </c>
      <c r="D46" s="10" t="n">
        <f aca="false">D40</f>
        <v>0</v>
      </c>
      <c r="E46" s="10" t="n">
        <f aca="false">E40</f>
        <v>75</v>
      </c>
      <c r="F46" s="10" t="n">
        <f aca="false">F40</f>
        <v>75</v>
      </c>
      <c r="G46" s="10" t="n">
        <f aca="false">G40</f>
        <v>150</v>
      </c>
      <c r="H46" s="10" t="n">
        <f aca="false">H40</f>
        <v>150</v>
      </c>
      <c r="I46" s="10" t="n">
        <f aca="false">I40</f>
        <v>150</v>
      </c>
      <c r="J46" s="10" t="n">
        <f aca="false">J40</f>
        <v>225</v>
      </c>
      <c r="K46" s="10" t="n">
        <f aca="false">K40</f>
        <v>225</v>
      </c>
      <c r="L46" s="10" t="n">
        <f aca="false">L40</f>
        <v>225</v>
      </c>
      <c r="M46" s="10" t="n">
        <f aca="false">M40</f>
        <v>225</v>
      </c>
      <c r="N46" s="10" t="n">
        <f aca="false">N40</f>
        <v>225</v>
      </c>
      <c r="O46" s="10" t="n">
        <f aca="false">O40</f>
        <v>225</v>
      </c>
      <c r="P46" s="10" t="n">
        <f aca="false">P40</f>
        <v>225</v>
      </c>
      <c r="Q46" s="10" t="n">
        <f aca="false">Q40</f>
        <v>225</v>
      </c>
      <c r="R46" s="12" t="n">
        <f aca="false">SUM(B46:Q46)</f>
        <v>2400</v>
      </c>
      <c r="U46" s="13" t="s">
        <v>86</v>
      </c>
    </row>
    <row r="47" customFormat="false" ht="14.25" hidden="false" customHeight="true" outlineLevel="0" collapsed="false">
      <c r="A47" s="9" t="s">
        <v>87</v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2" t="n">
        <f aca="false">SUM(B47:Q47)</f>
        <v>0</v>
      </c>
      <c r="U47" s="13" t="s">
        <v>88</v>
      </c>
    </row>
    <row r="48" customFormat="false" ht="14.25" hidden="false" customHeight="true" outlineLevel="0" collapsed="false">
      <c r="A48" s="9" t="s">
        <v>89</v>
      </c>
      <c r="B48" s="11" t="n">
        <v>0</v>
      </c>
      <c r="C48" s="11" t="n">
        <v>0</v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  <c r="P48" s="11" t="n">
        <v>0</v>
      </c>
      <c r="Q48" s="11" t="n">
        <v>0</v>
      </c>
      <c r="R48" s="12" t="n">
        <f aca="false">SUM(B48:Q48)</f>
        <v>0</v>
      </c>
      <c r="U48" s="13" t="s">
        <v>90</v>
      </c>
    </row>
    <row r="49" customFormat="false" ht="14.25" hidden="false" customHeight="true" outlineLevel="0" collapsed="false">
      <c r="A49" s="7" t="s">
        <v>91</v>
      </c>
      <c r="B49" s="23" t="n">
        <f aca="false">SUM(B43:B48)</f>
        <v>0</v>
      </c>
      <c r="C49" s="23" t="n">
        <f aca="false">SUM(C43:C48)</f>
        <v>0</v>
      </c>
      <c r="D49" s="23" t="n">
        <f aca="false">SUM(D43:D48)</f>
        <v>0</v>
      </c>
      <c r="E49" s="23" t="n">
        <f aca="false">SUM(E43:E48)</f>
        <v>157527.7156</v>
      </c>
      <c r="F49" s="23" t="n">
        <f aca="false">SUM(F43:F48)</f>
        <v>1567610.6916</v>
      </c>
      <c r="G49" s="23" t="n">
        <f aca="false">SUM(G43:G48)</f>
        <v>150</v>
      </c>
      <c r="H49" s="23" t="n">
        <f aca="false">SUM(H43:H48)</f>
        <v>150</v>
      </c>
      <c r="I49" s="23" t="n">
        <f aca="false">SUM(I43:I48)</f>
        <v>150</v>
      </c>
      <c r="J49" s="23" t="n">
        <f aca="false">SUM(J43:J48)</f>
        <v>225</v>
      </c>
      <c r="K49" s="23" t="n">
        <f aca="false">SUM(K43:K48)</f>
        <v>2216725</v>
      </c>
      <c r="L49" s="23" t="n">
        <f aca="false">SUM(L43:L48)</f>
        <v>225</v>
      </c>
      <c r="M49" s="23" t="n">
        <f aca="false">SUM(M43:M48)</f>
        <v>225</v>
      </c>
      <c r="N49" s="23" t="n">
        <f aca="false">SUM(N43:N48)</f>
        <v>225</v>
      </c>
      <c r="O49" s="23" t="n">
        <f aca="false">SUM(O43:O48)</f>
        <v>225</v>
      </c>
      <c r="P49" s="23" t="n">
        <f aca="false">SUM(P43:P48)</f>
        <v>225</v>
      </c>
      <c r="Q49" s="23" t="n">
        <f aca="false">SUM(Q43:Q48)</f>
        <v>225</v>
      </c>
      <c r="R49" s="23" t="n">
        <f aca="false">SUM(B49:Q49)</f>
        <v>3943888.4072</v>
      </c>
      <c r="S49" s="8"/>
      <c r="T49" s="8"/>
      <c r="U49" s="8"/>
    </row>
    <row r="50" customFormat="false" ht="18" hidden="false" customHeight="true" outlineLevel="0" collapsed="false">
      <c r="A50" s="14" t="s">
        <v>92</v>
      </c>
      <c r="B50" s="15" t="n">
        <f aca="false">B49</f>
        <v>0</v>
      </c>
      <c r="C50" s="15" t="n">
        <f aca="false">B50+C49</f>
        <v>0</v>
      </c>
      <c r="D50" s="15" t="n">
        <f aca="false">C50+D49</f>
        <v>0</v>
      </c>
      <c r="E50" s="15" t="n">
        <f aca="false">D50+E49</f>
        <v>157527.7156</v>
      </c>
      <c r="F50" s="15" t="n">
        <f aca="false">E50+F49</f>
        <v>1725138.4072</v>
      </c>
      <c r="G50" s="15" t="n">
        <f aca="false">F50+G49</f>
        <v>1725288.4072</v>
      </c>
      <c r="H50" s="15" t="n">
        <f aca="false">G50+H49</f>
        <v>1725438.4072</v>
      </c>
      <c r="I50" s="15" t="n">
        <f aca="false">H50+I49</f>
        <v>1725588.4072</v>
      </c>
      <c r="J50" s="15" t="n">
        <f aca="false">I50+J49</f>
        <v>1725813.4072</v>
      </c>
      <c r="K50" s="15" t="n">
        <f aca="false">J50+K49</f>
        <v>3942538.4072</v>
      </c>
      <c r="L50" s="15" t="n">
        <f aca="false">K50+L49</f>
        <v>3942763.4072</v>
      </c>
      <c r="M50" s="15" t="n">
        <f aca="false">L50+M49</f>
        <v>3942988.4072</v>
      </c>
      <c r="N50" s="15" t="n">
        <f aca="false">M50+N49</f>
        <v>3943213.4072</v>
      </c>
      <c r="O50" s="15" t="n">
        <f aca="false">N50+O49</f>
        <v>3943438.4072</v>
      </c>
      <c r="P50" s="15" t="n">
        <f aca="false">O50+P49</f>
        <v>3943663.4072</v>
      </c>
      <c r="Q50" s="15" t="n">
        <f aca="false">P50+Q49</f>
        <v>3943888.4072</v>
      </c>
    </row>
    <row r="51" customFormat="false" ht="22.5" hidden="false" customHeight="true" outlineLevel="0" collapsed="false"/>
    <row r="52" customFormat="false" ht="14.25" hidden="false" customHeight="true" outlineLevel="0" collapsed="false">
      <c r="A52" s="7" t="s">
        <v>93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 customFormat="false" ht="14.25" hidden="false" customHeight="true" outlineLevel="0" collapsed="false">
      <c r="A53" s="9" t="s">
        <v>94</v>
      </c>
      <c r="B53" s="10" t="n">
        <f aca="false">B50-B35</f>
        <v>0</v>
      </c>
      <c r="C53" s="10" t="n">
        <f aca="false">C50-C35</f>
        <v>0</v>
      </c>
      <c r="D53" s="10" t="n">
        <f aca="false">D50-D35</f>
        <v>0</v>
      </c>
      <c r="E53" s="10" t="n">
        <f aca="false">E50-E35</f>
        <v>42107.7156</v>
      </c>
      <c r="F53" s="10" t="n">
        <f aca="false">F50-F35</f>
        <v>1498716.26615</v>
      </c>
      <c r="G53" s="10" t="n">
        <f aca="false">G50-G35</f>
        <v>1338214.1251</v>
      </c>
      <c r="H53" s="10" t="n">
        <f aca="false">H50-H35</f>
        <v>520594.15335</v>
      </c>
      <c r="I53" s="10" t="n">
        <f aca="false">I50-I35</f>
        <v>466785.6916</v>
      </c>
      <c r="J53" s="10" t="n">
        <f aca="false">J50-J35</f>
        <v>390595.061375</v>
      </c>
      <c r="K53" s="10" t="n">
        <f aca="false">K50-K35</f>
        <v>2436254.43115</v>
      </c>
      <c r="L53" s="10" t="n">
        <f aca="false">L50-L35</f>
        <v>423413.800925</v>
      </c>
      <c r="M53" s="10" t="n">
        <f aca="false">M50-M35</f>
        <v>357296.4507</v>
      </c>
      <c r="N53" s="10" t="n">
        <f aca="false">N50-N35</f>
        <v>259214.130525</v>
      </c>
      <c r="O53" s="10" t="n">
        <f aca="false">O50-O35</f>
        <v>85981.8103499999</v>
      </c>
      <c r="P53" s="10" t="n">
        <f aca="false">P50-P35</f>
        <v>70749.4901749999</v>
      </c>
      <c r="Q53" s="10" t="n">
        <f aca="false">Q50-Q35</f>
        <v>0</v>
      </c>
      <c r="U53" s="13" t="s">
        <v>95</v>
      </c>
    </row>
    <row r="54" customFormat="false" ht="18" hidden="false" customHeight="true" outlineLevel="0" collapsed="false">
      <c r="A54" s="9" t="s">
        <v>96</v>
      </c>
      <c r="B54" s="32" t="str">
        <f aca="false">IF(B53&lt;0,"NON COUVERT","ok")</f>
        <v>ok</v>
      </c>
      <c r="C54" s="32" t="str">
        <f aca="false">IF(C53&lt;0,"NON COUVERT","ok")</f>
        <v>ok</v>
      </c>
      <c r="D54" s="32" t="str">
        <f aca="false">IF(D53&lt;0,"NON COUVERT","ok")</f>
        <v>ok</v>
      </c>
      <c r="E54" s="32" t="str">
        <f aca="false">IF(E53&lt;0,"NON COUVERT","ok")</f>
        <v>ok</v>
      </c>
      <c r="F54" s="32" t="str">
        <f aca="false">IF(F53&lt;0,"NON COUVERT","ok")</f>
        <v>ok</v>
      </c>
      <c r="G54" s="32" t="str">
        <f aca="false">IF(G53&lt;0,"NON COUVERT","ok")</f>
        <v>ok</v>
      </c>
      <c r="H54" s="32" t="str">
        <f aca="false">IF(H53&lt;0,"NON COUVERT","ok")</f>
        <v>ok</v>
      </c>
      <c r="I54" s="32" t="str">
        <f aca="false">IF(I53&lt;0,"NON COUVERT","ok")</f>
        <v>ok</v>
      </c>
      <c r="J54" s="32" t="str">
        <f aca="false">IF(J53&lt;0,"NON COUVERT","ok")</f>
        <v>ok</v>
      </c>
      <c r="K54" s="32" t="str">
        <f aca="false">IF(K53&lt;0,"NON COUVERT","ok")</f>
        <v>ok</v>
      </c>
      <c r="L54" s="32" t="str">
        <f aca="false">IF(L53&lt;0,"NON COUVERT","ok")</f>
        <v>ok</v>
      </c>
      <c r="M54" s="32" t="str">
        <f aca="false">IF(M53&lt;0,"NON COUVERT","ok")</f>
        <v>ok</v>
      </c>
      <c r="N54" s="32" t="str">
        <f aca="false">IF(N53&lt;0,"NON COUVERT","ok")</f>
        <v>ok</v>
      </c>
      <c r="O54" s="32" t="str">
        <f aca="false">IF(O53&lt;0,"NON COUVERT","ok")</f>
        <v>ok</v>
      </c>
      <c r="P54" s="32" t="str">
        <f aca="false">IF(P53&lt;0,"NON COUVERT","ok")</f>
        <v>ok</v>
      </c>
      <c r="Q54" s="32" t="str">
        <f aca="false">IF(Q53&lt;0,"NON COUVERT","ok")</f>
        <v>ok</v>
      </c>
      <c r="U54" s="13" t="s">
        <v>97</v>
      </c>
    </row>
    <row r="55" customFormat="false" ht="14.25" hidden="false" customHeight="true" outlineLevel="0" collapsed="false"/>
    <row r="56" customFormat="false" ht="14.25" hidden="false" customHeight="true" outlineLevel="0" collapsed="false">
      <c r="A56" s="7" t="s">
        <v>98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r="57" customFormat="false" ht="14.25" hidden="false" customHeight="true" outlineLevel="0" collapsed="false">
      <c r="A57" s="33" t="s">
        <v>99</v>
      </c>
    </row>
    <row r="58" customFormat="false" ht="14.25" hidden="false" customHeight="true" outlineLevel="0" collapsed="false">
      <c r="A58" s="3" t="s">
        <v>100</v>
      </c>
    </row>
    <row r="59" customFormat="false" ht="14.25" hidden="false" customHeight="true" outlineLevel="0" collapsed="false"/>
    <row r="60" customFormat="false" ht="14.25" hidden="false" customHeight="true" outlineLevel="0" collapsed="false">
      <c r="A60" s="34" t="s">
        <v>101</v>
      </c>
    </row>
    <row r="61" customFormat="false" ht="14.25" hidden="false" customHeight="true" outlineLevel="0" collapsed="false">
      <c r="A61" s="33" t="s">
        <v>102</v>
      </c>
    </row>
    <row r="62" customFormat="false" ht="14.25" hidden="false" customHeight="true" outlineLevel="0" collapsed="false">
      <c r="A62" s="33" t="s">
        <v>103</v>
      </c>
    </row>
    <row r="63" customFormat="false" ht="14.25" hidden="false" customHeight="true" outlineLevel="0" collapsed="false">
      <c r="A63" s="33" t="s">
        <v>104</v>
      </c>
    </row>
    <row r="64" customFormat="false" ht="14.25" hidden="false" customHeight="true" outlineLevel="0" collapsed="false">
      <c r="A64" s="33" t="s">
        <v>105</v>
      </c>
    </row>
    <row r="65" customFormat="false" ht="14.25" hidden="false" customHeight="true" outlineLevel="0" collapsed="false"/>
    <row r="66" customFormat="false" ht="14.25" hidden="false" customHeight="true" outlineLevel="0" collapsed="false">
      <c r="A66" s="34" t="s">
        <v>106</v>
      </c>
    </row>
    <row r="67" customFormat="false" ht="14.25" hidden="false" customHeight="true" outlineLevel="0" collapsed="false">
      <c r="A67" s="9" t="s">
        <v>107</v>
      </c>
      <c r="B67" s="35" t="n">
        <v>0.02</v>
      </c>
      <c r="C67" s="33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62"/>
    <col collapsed="false" customWidth="true" hidden="false" outlineLevel="0" max="6" min="2" style="1" width="16"/>
  </cols>
  <sheetData>
    <row r="1" customFormat="false" ht="16.5" hidden="false" customHeight="true" outlineLevel="0" collapsed="false">
      <c r="A1" s="36" t="s">
        <v>109</v>
      </c>
    </row>
    <row r="3" customFormat="false" ht="14.25" hidden="false" customHeight="true" outlineLevel="0" collapsed="false">
      <c r="A3" s="4"/>
      <c r="B3" s="37" t="s">
        <v>110</v>
      </c>
      <c r="C3" s="37" t="s">
        <v>111</v>
      </c>
      <c r="D3" s="37" t="s">
        <v>112</v>
      </c>
      <c r="E3" s="37" t="s">
        <v>113</v>
      </c>
      <c r="F3" s="37" t="s">
        <v>114</v>
      </c>
    </row>
    <row r="4" customFormat="false" ht="14.25" hidden="false" customHeight="true" outlineLevel="0" collapsed="false">
      <c r="A4" s="9" t="s">
        <v>115</v>
      </c>
      <c r="B4" s="10" t="n">
        <f aca="false">SUM('Planning financier'!B13:E13)</f>
        <v>113000</v>
      </c>
      <c r="C4" s="10" t="n">
        <f aca="false">SUM('Planning financier'!F13:I13)</f>
        <v>1101350</v>
      </c>
      <c r="D4" s="10" t="n">
        <f aca="false">SUM('Planning financier'!J13:M13)</f>
        <v>2241350</v>
      </c>
      <c r="E4" s="10" t="n">
        <f aca="false">SUM('Planning financier'!N13:Q13)</f>
        <v>260850</v>
      </c>
      <c r="F4" s="12" t="n">
        <f aca="false">SUM(B4:E4)</f>
        <v>3716550</v>
      </c>
    </row>
    <row r="5" customFormat="false" ht="14.25" hidden="false" customHeight="true" outlineLevel="0" collapsed="false">
      <c r="A5" s="9" t="s">
        <v>116</v>
      </c>
      <c r="B5" s="10" t="n">
        <f aca="false">SUM('Planning financier'!B20:E20)</f>
        <v>2120</v>
      </c>
      <c r="C5" s="10" t="n">
        <f aca="false">SUM('Planning financier'!F20:I20)</f>
        <v>9707.2258</v>
      </c>
      <c r="D5" s="10" t="n">
        <f aca="false">SUM('Planning financier'!J20:M20)</f>
        <v>25663.5233</v>
      </c>
      <c r="E5" s="10" t="n">
        <f aca="false">SUM('Planning financier'!N20:Q20)</f>
        <v>35216.2804</v>
      </c>
      <c r="F5" s="12" t="n">
        <f aca="false">SUM(B5:E5)</f>
        <v>72707.0295</v>
      </c>
    </row>
    <row r="6" customFormat="false" ht="14.25" hidden="false" customHeight="true" outlineLevel="0" collapsed="false">
      <c r="A6" s="9" t="s">
        <v>117</v>
      </c>
      <c r="B6" s="10" t="n">
        <f aca="false">SUM('Planning financier'!B32:E32)</f>
        <v>300</v>
      </c>
      <c r="C6" s="10" t="n">
        <f aca="false">SUM('Planning financier'!F32:I32)</f>
        <v>32325.4898</v>
      </c>
      <c r="D6" s="10" t="n">
        <f aca="false">SUM('Planning financier'!J32:M32)</f>
        <v>59875.7176</v>
      </c>
      <c r="E6" s="10" t="n">
        <f aca="false">SUM('Planning financier'!N32:Q32)</f>
        <v>62130.1703</v>
      </c>
      <c r="F6" s="12" t="n">
        <f aca="false">SUM(B6:E6)</f>
        <v>154631.3777</v>
      </c>
    </row>
    <row r="7" customFormat="false" ht="14.25" hidden="false" customHeight="true" outlineLevel="0" collapsed="false">
      <c r="A7" s="24" t="s">
        <v>118</v>
      </c>
      <c r="B7" s="12" t="n">
        <f aca="false">SUM('Planning financier'!B34:E34)</f>
        <v>115420</v>
      </c>
      <c r="C7" s="12" t="n">
        <f aca="false">SUM('Planning financier'!F34:I34)</f>
        <v>1143382.7156</v>
      </c>
      <c r="D7" s="12" t="n">
        <f aca="false">SUM('Planning financier'!J34:M34)</f>
        <v>2326889.2409</v>
      </c>
      <c r="E7" s="12" t="n">
        <f aca="false">SUM('Planning financier'!N34:Q34)</f>
        <v>358196.4507</v>
      </c>
      <c r="F7" s="12" t="n">
        <f aca="false">SUM(B7:E7)</f>
        <v>3943888.4072</v>
      </c>
    </row>
    <row r="9" customFormat="false" ht="14.25" hidden="false" customHeight="true" outlineLevel="0" collapsed="false">
      <c r="A9" s="9" t="s">
        <v>119</v>
      </c>
      <c r="B9" s="10" t="n">
        <f aca="false">SUM('Planning financier'!B43:E43)</f>
        <v>157452.7156</v>
      </c>
      <c r="C9" s="10" t="n">
        <f aca="false">SUM('Planning financier'!F43:I43)</f>
        <v>0</v>
      </c>
      <c r="D9" s="10" t="n">
        <f aca="false">SUM('Planning financier'!J43:M43)</f>
        <v>0</v>
      </c>
      <c r="E9" s="10" t="n">
        <f aca="false">SUM('Planning financier'!N43:Q43)</f>
        <v>0</v>
      </c>
      <c r="F9" s="12" t="n">
        <f aca="false">SUM(B9:E9)</f>
        <v>157452.7156</v>
      </c>
    </row>
    <row r="10" customFormat="false" ht="14.25" hidden="false" customHeight="true" outlineLevel="0" collapsed="false">
      <c r="A10" s="9" t="s">
        <v>120</v>
      </c>
      <c r="B10" s="10" t="n">
        <f aca="false">SUM('Planning financier'!B44:E44)</f>
        <v>0</v>
      </c>
      <c r="C10" s="10" t="n">
        <f aca="false">SUM('Planning financier'!F44:I44)</f>
        <v>1567535.6916</v>
      </c>
      <c r="D10" s="10" t="n">
        <f aca="false">SUM('Planning financier'!J44:M44)</f>
        <v>0</v>
      </c>
      <c r="E10" s="10" t="n">
        <f aca="false">SUM('Planning financier'!N44:Q44)</f>
        <v>0</v>
      </c>
      <c r="F10" s="12" t="n">
        <f aca="false">SUM(B10:E10)</f>
        <v>1567535.6916</v>
      </c>
    </row>
    <row r="11" customFormat="false" ht="14.25" hidden="false" customHeight="true" outlineLevel="0" collapsed="false">
      <c r="A11" s="9" t="s">
        <v>121</v>
      </c>
      <c r="B11" s="10" t="n">
        <f aca="false">SUM('Planning financier'!B45:E45)</f>
        <v>0</v>
      </c>
      <c r="C11" s="10" t="n">
        <f aca="false">SUM('Planning financier'!F45:I45)</f>
        <v>0</v>
      </c>
      <c r="D11" s="10" t="n">
        <f aca="false">SUM('Planning financier'!J45:M45)</f>
        <v>2216500</v>
      </c>
      <c r="E11" s="10" t="n">
        <f aca="false">SUM('Planning financier'!N45:Q45)</f>
        <v>0</v>
      </c>
      <c r="F11" s="12" t="n">
        <f aca="false">SUM(B11:E11)</f>
        <v>2216500</v>
      </c>
    </row>
    <row r="12" customFormat="false" ht="14.25" hidden="false" customHeight="true" outlineLevel="0" collapsed="false">
      <c r="A12" s="9" t="s">
        <v>122</v>
      </c>
      <c r="B12" s="10" t="n">
        <f aca="false">SUM('Planning financier'!B46:E46)</f>
        <v>75</v>
      </c>
      <c r="C12" s="10" t="n">
        <f aca="false">SUM('Planning financier'!F46:I46)</f>
        <v>525</v>
      </c>
      <c r="D12" s="10" t="n">
        <f aca="false">SUM('Planning financier'!J46:M46)</f>
        <v>900</v>
      </c>
      <c r="E12" s="10" t="n">
        <f aca="false">SUM('Planning financier'!N46:Q46)</f>
        <v>900</v>
      </c>
      <c r="F12" s="12" t="n">
        <f aca="false">SUM(B12:E12)</f>
        <v>2400</v>
      </c>
    </row>
    <row r="13" customFormat="false" ht="14.25" hidden="false" customHeight="true" outlineLevel="0" collapsed="false">
      <c r="A13" s="24" t="s">
        <v>91</v>
      </c>
      <c r="B13" s="12" t="n">
        <f aca="false">SUM('Planning financier'!B49:E49)</f>
        <v>157527.7156</v>
      </c>
      <c r="C13" s="12" t="n">
        <f aca="false">SUM('Planning financier'!F49:I49)</f>
        <v>1568060.6916</v>
      </c>
      <c r="D13" s="12" t="n">
        <f aca="false">SUM('Planning financier'!J49:M49)</f>
        <v>2217400</v>
      </c>
      <c r="E13" s="12" t="n">
        <f aca="false">SUM('Planning financier'!N49:Q49)</f>
        <v>900</v>
      </c>
      <c r="F13" s="12" t="n">
        <f aca="false">SUM(B13:E13)</f>
        <v>3943888.4072</v>
      </c>
    </row>
    <row r="14" customFormat="false" ht="14.25" hidden="false" customHeight="true" outlineLevel="0" collapsed="false"/>
    <row r="15" customFormat="false" ht="14.25" hidden="false" customHeight="true" outlineLevel="0" collapsed="false">
      <c r="A15" s="9" t="s">
        <v>123</v>
      </c>
      <c r="B15" s="10" t="n">
        <f aca="false">SUM('Planning financier'!B38:E38)</f>
        <v>15000</v>
      </c>
      <c r="C15" s="10" t="n">
        <f aca="false">SUM('Planning financier'!F38:I38)</f>
        <v>30000</v>
      </c>
      <c r="D15" s="10" t="n">
        <f aca="false">SUM('Planning financier'!J38:M38)</f>
        <v>0</v>
      </c>
      <c r="E15" s="10" t="n">
        <f aca="false">SUM('Planning financier'!N38:Q38)</f>
        <v>0</v>
      </c>
      <c r="F15" s="12" t="n">
        <f aca="false">SUM(B15:E15)</f>
        <v>45000</v>
      </c>
    </row>
    <row r="16" customFormat="false" ht="14.25" hidden="false" customHeight="true" outlineLevel="0" collapsed="false">
      <c r="A16" s="9" t="s">
        <v>124</v>
      </c>
      <c r="B16" s="10" t="n">
        <f aca="false">'Planning financier'!E39</f>
        <v>15000</v>
      </c>
      <c r="C16" s="10" t="n">
        <f aca="false">'Planning financier'!I39</f>
        <v>45000</v>
      </c>
      <c r="D16" s="10" t="n">
        <f aca="false">'Planning financier'!M39</f>
        <v>45000</v>
      </c>
      <c r="E16" s="10" t="n">
        <f aca="false">'Planning financier'!Q39</f>
        <v>45000</v>
      </c>
      <c r="F16" s="12" t="n">
        <f aca="false">'Planning financier'!Q39</f>
        <v>45000</v>
      </c>
    </row>
    <row r="17" customFormat="false" ht="14.25" hidden="false" customHeight="true" outlineLevel="0" collapsed="false"/>
    <row r="18" customFormat="false" ht="14.25" hidden="false" customHeight="true" outlineLevel="0" collapsed="false">
      <c r="A18" s="24" t="s">
        <v>125</v>
      </c>
      <c r="B18" s="12" t="n">
        <f aca="false">'Planning financier'!E53</f>
        <v>42107.7156</v>
      </c>
      <c r="C18" s="12" t="n">
        <f aca="false">'Planning financier'!I53</f>
        <v>466785.6916</v>
      </c>
      <c r="D18" s="12" t="n">
        <f aca="false">'Planning financier'!M53</f>
        <v>357296.4507</v>
      </c>
      <c r="E18" s="12" t="n">
        <f aca="false">'Planning financier'!Q53</f>
        <v>0</v>
      </c>
    </row>
    <row r="19" customFormat="false" ht="14.25" hidden="false" customHeight="true" outlineLevel="0" collapsed="false"/>
    <row r="20" customFormat="false" ht="14.25" hidden="false" customHeight="true" outlineLevel="0" collapsed="false">
      <c r="A20" s="34" t="s">
        <v>126</v>
      </c>
    </row>
    <row r="21" customFormat="false" ht="14.25" hidden="false" customHeight="true" outlineLevel="0" collapsed="false">
      <c r="A21" s="9" t="s">
        <v>127</v>
      </c>
      <c r="B21" s="11" t="n">
        <v>300</v>
      </c>
      <c r="C21" s="11" t="n">
        <v>32325.49</v>
      </c>
      <c r="D21" s="11" t="n">
        <v>59875.72</v>
      </c>
      <c r="E21" s="11" t="n">
        <v>62130.17</v>
      </c>
      <c r="F21" s="12" t="n">
        <f aca="false">SUM(B21:E21)</f>
        <v>154631.38</v>
      </c>
    </row>
    <row r="22" customFormat="false" ht="14.25" hidden="false" customHeight="true" outlineLevel="0" collapsed="false">
      <c r="A22" s="24" t="s">
        <v>128</v>
      </c>
      <c r="B22" s="12" t="n">
        <f aca="false">B21-B6</f>
        <v>0</v>
      </c>
      <c r="C22" s="12" t="n">
        <f aca="false">C21-C6</f>
        <v>0.000199999998585554</v>
      </c>
      <c r="D22" s="12" t="n">
        <f aca="false">D21-D6</f>
        <v>0.00240000000485452</v>
      </c>
      <c r="E22" s="12" t="n">
        <f aca="false">E21-E6</f>
        <v>-0.00029999999969732</v>
      </c>
      <c r="F22" s="12" t="n">
        <f aca="false">F21-F6</f>
        <v>0.00229999999282882</v>
      </c>
    </row>
    <row r="23" customFormat="false" ht="14.25" hidden="false" customHeight="true" outlineLevel="0" collapsed="false"/>
    <row r="24" customFormat="false" ht="14.25" hidden="false" customHeight="true" outlineLevel="0" collapsed="false">
      <c r="A24" s="9" t="s">
        <v>129</v>
      </c>
      <c r="F24" s="11" t="n">
        <v>3915200</v>
      </c>
    </row>
    <row r="25" customFormat="false" ht="14.25" hidden="false" customHeight="true" outlineLevel="0" collapsed="false">
      <c r="A25" s="9" t="s">
        <v>130</v>
      </c>
      <c r="F25" s="11" t="n">
        <v>3915250</v>
      </c>
    </row>
    <row r="26" customFormat="false" ht="14.25" hidden="false" customHeight="true" outlineLevel="0" collapsed="false">
      <c r="A26" s="9" t="s">
        <v>131</v>
      </c>
      <c r="F26" s="12" t="n">
        <f aca="false">F4</f>
        <v>3716550</v>
      </c>
    </row>
    <row r="27" customFormat="false" ht="14.25" hidden="false" customHeight="true" outlineLevel="0" collapsed="false">
      <c r="A27" s="9" t="s">
        <v>132</v>
      </c>
      <c r="F27" s="11" t="n">
        <v>0</v>
      </c>
    </row>
    <row r="28" customFormat="false" ht="14.25" hidden="false" customHeight="true" outlineLevel="0" collapsed="false">
      <c r="A28" s="9" t="s">
        <v>133</v>
      </c>
      <c r="F28" s="11" t="n">
        <v>198700</v>
      </c>
    </row>
    <row r="29" customFormat="false" ht="14.25" hidden="false" customHeight="true" outlineLevel="0" collapsed="false">
      <c r="A29" s="24" t="s">
        <v>134</v>
      </c>
      <c r="F29" s="12" t="n">
        <f aca="false">F25-F26-F27-F28</f>
        <v>0</v>
      </c>
    </row>
    <row r="30" customFormat="false" ht="14.25" hidden="false" customHeight="true" outlineLevel="0" collapsed="false"/>
    <row r="31" customFormat="false" ht="14.25" hidden="false" customHeight="true" outlineLevel="0" collapsed="false">
      <c r="A31" s="24" t="s">
        <v>135</v>
      </c>
      <c r="F31" s="12" t="n">
        <f aca="false">F9+F10+F11</f>
        <v>3941488.4072</v>
      </c>
    </row>
    <row r="32" customFormat="false" ht="14.25" hidden="false" customHeight="true" outlineLevel="0" collapsed="false">
      <c r="A32" s="24" t="s">
        <v>136</v>
      </c>
      <c r="F32" s="12" t="n">
        <f aca="false">F28</f>
        <v>198700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5"/>
    <col collapsed="false" customWidth="true" hidden="false" outlineLevel="0" max="3" min="3" style="1" width="16.63"/>
    <col collapsed="false" customWidth="true" hidden="false" outlineLevel="0" max="4" min="4" style="1" width="16.91"/>
    <col collapsed="false" customWidth="true" hidden="false" outlineLevel="0" max="6" min="5" style="1" width="15"/>
  </cols>
  <sheetData>
    <row r="1" customFormat="false" ht="16.5" hidden="false" customHeight="true" outlineLevel="0" collapsed="false">
      <c r="A1" s="36" t="s">
        <v>137</v>
      </c>
    </row>
    <row r="2" customFormat="false" ht="14.25" hidden="false" customHeight="true" outlineLevel="0" collapsed="false">
      <c r="A2" s="38" t="s">
        <v>138</v>
      </c>
    </row>
    <row r="4" customFormat="false" ht="14.25" hidden="false" customHeight="true" outlineLevel="0" collapsed="false">
      <c r="A4" s="37"/>
      <c r="B4" s="37" t="s">
        <v>110</v>
      </c>
      <c r="C4" s="37" t="s">
        <v>111</v>
      </c>
      <c r="D4" s="37" t="s">
        <v>112</v>
      </c>
      <c r="E4" s="37" t="s">
        <v>113</v>
      </c>
      <c r="F4" s="37" t="s">
        <v>114</v>
      </c>
    </row>
    <row r="5" customFormat="false" ht="14.25" hidden="false" customHeight="true" outlineLevel="0" collapsed="false">
      <c r="B5" s="39" t="s">
        <v>139</v>
      </c>
      <c r="C5" s="39" t="s">
        <v>140</v>
      </c>
      <c r="D5" s="39" t="s">
        <v>141</v>
      </c>
      <c r="E5" s="39" t="s">
        <v>142</v>
      </c>
    </row>
    <row r="6" customFormat="false" ht="14.25" hidden="false" customHeight="true" outlineLevel="0" collapsed="false">
      <c r="A6" s="40" t="s">
        <v>143</v>
      </c>
      <c r="B6" s="40"/>
      <c r="C6" s="40"/>
      <c r="D6" s="40"/>
      <c r="E6" s="40"/>
      <c r="F6" s="40"/>
      <c r="G6" s="41"/>
    </row>
    <row r="7" customFormat="false" ht="14.25" hidden="false" customHeight="true" outlineLevel="0" collapsed="false">
      <c r="A7" s="41" t="s">
        <v>144</v>
      </c>
      <c r="B7" s="42" t="n">
        <v>0</v>
      </c>
      <c r="C7" s="42" t="n">
        <v>28428.3072</v>
      </c>
      <c r="D7" s="42" t="n">
        <v>57993.7467</v>
      </c>
      <c r="E7" s="42" t="n">
        <v>59153.6216</v>
      </c>
      <c r="F7" s="43" t="n">
        <f aca="false">SUM(B7:E7)</f>
        <v>145575.6755</v>
      </c>
      <c r="G7" s="41"/>
    </row>
    <row r="8" customFormat="false" ht="14.25" hidden="false" customHeight="true" outlineLevel="0" collapsed="false">
      <c r="A8" s="38" t="s">
        <v>145</v>
      </c>
      <c r="B8" s="42" t="n">
        <v>0</v>
      </c>
      <c r="C8" s="42" t="n">
        <v>28428.3072</v>
      </c>
      <c r="D8" s="42" t="n">
        <v>57993.7467</v>
      </c>
      <c r="E8" s="42" t="n">
        <v>59153.6216</v>
      </c>
      <c r="F8" s="43" t="n">
        <f aca="false">SUM(B8:E8)</f>
        <v>145575.6755</v>
      </c>
      <c r="G8" s="41"/>
    </row>
    <row r="9" customFormat="false" ht="14.25" hidden="false" customHeight="true" outlineLevel="0" collapsed="false">
      <c r="A9" s="38" t="s">
        <v>146</v>
      </c>
      <c r="B9" s="42" t="n">
        <v>0</v>
      </c>
      <c r="C9" s="42" t="n">
        <v>0</v>
      </c>
      <c r="D9" s="42" t="n">
        <v>0</v>
      </c>
      <c r="E9" s="42" t="n">
        <v>0</v>
      </c>
      <c r="F9" s="43" t="n">
        <f aca="false">SUM(B9:E9)</f>
        <v>0</v>
      </c>
      <c r="G9" s="41"/>
    </row>
    <row r="10" customFormat="false" ht="14.25" hidden="false" customHeight="true" outlineLevel="0" collapsed="false">
      <c r="A10" s="41" t="s">
        <v>147</v>
      </c>
      <c r="B10" s="42" t="n">
        <v>0</v>
      </c>
      <c r="C10" s="42" t="n">
        <v>16123.8</v>
      </c>
      <c r="D10" s="42" t="n">
        <v>25866.904</v>
      </c>
      <c r="E10" s="42" t="n">
        <v>25883.9421</v>
      </c>
      <c r="F10" s="43" t="n">
        <f aca="false">SUM(B10:E10)</f>
        <v>67874.6461</v>
      </c>
      <c r="G10" s="41"/>
    </row>
    <row r="11" customFormat="false" ht="14.25" hidden="false" customHeight="true" outlineLevel="0" collapsed="false">
      <c r="A11" s="41" t="s">
        <v>148</v>
      </c>
      <c r="B11" s="42" t="n">
        <v>0</v>
      </c>
      <c r="C11" s="42" t="n">
        <v>3544</v>
      </c>
      <c r="D11" s="42" t="n">
        <v>7088</v>
      </c>
      <c r="E11" s="42" t="n">
        <v>7088</v>
      </c>
      <c r="F11" s="43" t="n">
        <f aca="false">SUM(B11:E11)</f>
        <v>17720</v>
      </c>
      <c r="G11" s="41"/>
    </row>
    <row r="12" customFormat="false" ht="14.25" hidden="false" customHeight="true" outlineLevel="0" collapsed="false">
      <c r="A12" s="41" t="s">
        <v>149</v>
      </c>
      <c r="B12" s="42" t="n">
        <v>0</v>
      </c>
      <c r="C12" s="42" t="n">
        <v>286.76</v>
      </c>
      <c r="D12" s="42" t="n">
        <v>528.92</v>
      </c>
      <c r="E12" s="42" t="n">
        <v>534.428</v>
      </c>
      <c r="F12" s="43" t="n">
        <f aca="false">SUM(B12:E12)</f>
        <v>1350.108</v>
      </c>
      <c r="G12" s="41"/>
    </row>
    <row r="13" customFormat="false" ht="14.25" hidden="false" customHeight="true" outlineLevel="0" collapsed="false">
      <c r="A13" s="41" t="s">
        <v>150</v>
      </c>
      <c r="B13" s="42" t="n">
        <v>0</v>
      </c>
      <c r="C13" s="42" t="n">
        <v>3815.942</v>
      </c>
      <c r="D13" s="42" t="n">
        <v>9557.9614</v>
      </c>
      <c r="E13" s="42" t="n">
        <v>18968.0404</v>
      </c>
      <c r="F13" s="43" t="n">
        <f aca="false">SUM(B13:E13)</f>
        <v>32341.9438</v>
      </c>
      <c r="G13" s="41"/>
    </row>
    <row r="14" customFormat="false" ht="14.25" hidden="false" customHeight="true" outlineLevel="0" collapsed="false">
      <c r="A14" s="44" t="s">
        <v>151</v>
      </c>
      <c r="B14" s="43" t="n">
        <f aca="false">B7+B10+B11+B12+B13</f>
        <v>0</v>
      </c>
      <c r="C14" s="43" t="n">
        <f aca="false">C7+C10+C11+C12+C13</f>
        <v>52198.8092</v>
      </c>
      <c r="D14" s="43" t="n">
        <f aca="false">D7+D10+D11+D12+D13</f>
        <v>101035.5321</v>
      </c>
      <c r="E14" s="43" t="n">
        <f aca="false">E7+E10+E11+E12+E13</f>
        <v>111628.0321</v>
      </c>
      <c r="F14" s="43" t="n">
        <f aca="false">SUM(B14:E14)</f>
        <v>264862.3734</v>
      </c>
      <c r="G14" s="41"/>
    </row>
    <row r="15" customFormat="false" ht="14.25" hidden="false" customHeight="true" outlineLevel="0" collapsed="false">
      <c r="A15" s="41"/>
      <c r="B15" s="41"/>
      <c r="C15" s="41"/>
      <c r="D15" s="41"/>
      <c r="E15" s="41"/>
      <c r="F15" s="41"/>
      <c r="G15" s="41"/>
    </row>
    <row r="16" customFormat="false" ht="14.25" hidden="false" customHeight="true" outlineLevel="0" collapsed="false">
      <c r="A16" s="40" t="s">
        <v>152</v>
      </c>
      <c r="B16" s="40"/>
      <c r="C16" s="40"/>
      <c r="D16" s="40"/>
      <c r="E16" s="40"/>
      <c r="F16" s="40"/>
      <c r="G16" s="41"/>
    </row>
    <row r="17" customFormat="false" ht="14.25" hidden="false" customHeight="true" outlineLevel="0" collapsed="false">
      <c r="A17" s="41" t="s">
        <v>153</v>
      </c>
      <c r="B17" s="42" t="n">
        <v>0</v>
      </c>
      <c r="C17" s="42" t="n">
        <v>29607.1056</v>
      </c>
      <c r="D17" s="42" t="n">
        <v>55110.9383</v>
      </c>
      <c r="E17" s="42" t="n">
        <v>55804.3007</v>
      </c>
      <c r="F17" s="43" t="n">
        <f aca="false">SUM(B17:E17)</f>
        <v>140522.3446</v>
      </c>
      <c r="G17" s="41"/>
    </row>
    <row r="18" customFormat="false" ht="14.25" hidden="false" customHeight="true" outlineLevel="0" collapsed="false">
      <c r="A18" s="41" t="s">
        <v>154</v>
      </c>
      <c r="B18" s="42" t="n">
        <v>0</v>
      </c>
      <c r="C18" s="42" t="n">
        <v>5685.6614</v>
      </c>
      <c r="D18" s="42" t="n">
        <v>11598.7493</v>
      </c>
      <c r="E18" s="42" t="n">
        <v>11830.7243</v>
      </c>
      <c r="F18" s="43" t="n">
        <f aca="false">SUM(B18:E18)</f>
        <v>29115.135</v>
      </c>
      <c r="G18" s="41"/>
    </row>
    <row r="19" customFormat="false" ht="14.25" hidden="false" customHeight="true" outlineLevel="0" collapsed="false">
      <c r="A19" s="41" t="s">
        <v>155</v>
      </c>
      <c r="B19" s="42" t="n">
        <v>0</v>
      </c>
      <c r="C19" s="42" t="n">
        <v>589.8284</v>
      </c>
      <c r="D19" s="42" t="n">
        <v>1164.9683</v>
      </c>
      <c r="E19" s="42" t="n">
        <v>1173.446</v>
      </c>
      <c r="F19" s="43" t="n">
        <f aca="false">SUM(B19:E19)</f>
        <v>2928.2427</v>
      </c>
    </row>
    <row r="20" customFormat="false" ht="14.25" hidden="false" customHeight="true" outlineLevel="0" collapsed="false">
      <c r="A20" s="41" t="s">
        <v>156</v>
      </c>
      <c r="B20" s="42" t="n">
        <v>0</v>
      </c>
      <c r="C20" s="42" t="n">
        <v>6275.4898</v>
      </c>
      <c r="D20" s="42" t="n">
        <v>12763.7176</v>
      </c>
      <c r="E20" s="42" t="n">
        <v>13004.1703</v>
      </c>
      <c r="F20" s="43" t="n">
        <f aca="false">SUM(B20:E20)</f>
        <v>32043.3777</v>
      </c>
      <c r="G20" s="41"/>
    </row>
    <row r="21" customFormat="false" ht="14.25" hidden="false" customHeight="true" outlineLevel="0" collapsed="false">
      <c r="A21" s="41" t="s">
        <v>157</v>
      </c>
      <c r="B21" s="42" t="n">
        <v>0</v>
      </c>
      <c r="C21" s="42" t="n">
        <v>9518.7358</v>
      </c>
      <c r="D21" s="42" t="n">
        <v>19386.8033</v>
      </c>
      <c r="E21" s="42" t="n">
        <v>28699.1104</v>
      </c>
      <c r="F21" s="43" t="n">
        <f aca="false">SUM(B21:E21)</f>
        <v>57604.6495</v>
      </c>
    </row>
    <row r="22" customFormat="false" ht="14.25" hidden="false" customHeight="true" outlineLevel="0" collapsed="false">
      <c r="A22" s="41" t="s">
        <v>158</v>
      </c>
      <c r="B22" s="42" t="n">
        <v>0</v>
      </c>
      <c r="C22" s="42" t="n">
        <v>521.9881</v>
      </c>
      <c r="D22" s="42" t="n">
        <v>1010.3553</v>
      </c>
      <c r="E22" s="42" t="n">
        <v>1116.2803</v>
      </c>
      <c r="F22" s="43" t="n">
        <f aca="false">SUM(B22:E22)</f>
        <v>2648.6237</v>
      </c>
      <c r="G22" s="41"/>
    </row>
    <row r="23" customFormat="false" ht="14.25" hidden="false" customHeight="true" outlineLevel="0" collapsed="false">
      <c r="A23" s="44" t="s">
        <v>159</v>
      </c>
      <c r="B23" s="43" t="n">
        <f aca="false">SUM(B17:B22)</f>
        <v>0</v>
      </c>
      <c r="C23" s="43" t="n">
        <f aca="false">SUM(C17:C22)</f>
        <v>52198.8091</v>
      </c>
      <c r="D23" s="43" t="n">
        <f aca="false">SUM(D17:D22)</f>
        <v>101035.5321</v>
      </c>
      <c r="E23" s="43" t="n">
        <f aca="false">SUM(E17:E22)</f>
        <v>111628.032</v>
      </c>
      <c r="F23" s="43" t="n">
        <f aca="false">SUM(B23:E23)</f>
        <v>264862.3732</v>
      </c>
      <c r="G23" s="41"/>
    </row>
    <row r="24" customFormat="false" ht="14.25" hidden="false" customHeight="true" outlineLevel="0" collapsed="false">
      <c r="A24" s="38" t="s">
        <v>160</v>
      </c>
      <c r="B24" s="45" t="n">
        <f aca="false">B23-B14</f>
        <v>0</v>
      </c>
      <c r="C24" s="45" t="n">
        <f aca="false">C23-C14</f>
        <v>-0.000100000004749745</v>
      </c>
      <c r="D24" s="45" t="n">
        <f aca="false">D23-D14</f>
        <v>0</v>
      </c>
      <c r="E24" s="45" t="n">
        <f aca="false">E23-E14</f>
        <v>-9.99999901978299E-005</v>
      </c>
      <c r="F24" s="43" t="n">
        <f aca="false">SUM(B24:E24)</f>
        <v>-0.000199999994947575</v>
      </c>
      <c r="G24" s="41"/>
    </row>
    <row r="25" customFormat="false" ht="14.25" hidden="false" customHeight="true" outlineLevel="0" collapsed="false">
      <c r="A25" s="41"/>
      <c r="B25" s="41"/>
      <c r="C25" s="41"/>
      <c r="D25" s="41"/>
      <c r="E25" s="41"/>
      <c r="F25" s="41"/>
      <c r="G25" s="41"/>
    </row>
    <row r="26" customFormat="false" ht="14.25" hidden="false" customHeight="true" outlineLevel="0" collapsed="false">
      <c r="A26" s="38" t="s">
        <v>161</v>
      </c>
      <c r="B26" s="46" t="n">
        <f aca="false">IFERROR(B17/B14,0)</f>
        <v>0</v>
      </c>
      <c r="C26" s="46" t="n">
        <f aca="false">IFERROR(C17/C14,0)</f>
        <v>0.567198870122884</v>
      </c>
      <c r="D26" s="46" t="n">
        <f aca="false">IFERROR(D17/D14,0)</f>
        <v>0.545460959669653</v>
      </c>
      <c r="E26" s="46" t="n">
        <f aca="false">IFERROR(E17/E14,0)</f>
        <v>0.499912966753805</v>
      </c>
      <c r="F26" s="47" t="n">
        <f aca="false">IFERROR(F17/F14,0)</f>
        <v>0.530548536570654</v>
      </c>
      <c r="G26" s="41"/>
    </row>
    <row r="27" customFormat="false" ht="14.25" hidden="false" customHeight="true" outlineLevel="0" collapsed="false">
      <c r="A27" s="38" t="s">
        <v>162</v>
      </c>
      <c r="B27" s="46" t="n">
        <f aca="false">IFERROR((B18+B19+B21)/B14,0)</f>
        <v>0</v>
      </c>
      <c r="C27" s="46" t="n">
        <f aca="false">IFERROR((C18+C19+C21)/C14,0)</f>
        <v>0.302578274141932</v>
      </c>
      <c r="D27" s="46" t="n">
        <f aca="false">IFERROR((D18+D19+D21)/D14,0)</f>
        <v>0.318210041871002</v>
      </c>
      <c r="E27" s="46" t="n">
        <f aca="false">IFERROR((E18+E19+E21)/E14,0)</f>
        <v>0.373591470847044</v>
      </c>
      <c r="F27" s="47" t="n">
        <f aca="false">IFERROR((F18+F19+F21)/F14,0)</f>
        <v>0.338470225306831</v>
      </c>
      <c r="G27" s="41"/>
    </row>
    <row r="28" customFormat="false" ht="14.25" hidden="false" customHeight="true" outlineLevel="0" collapsed="false">
      <c r="A28" s="38"/>
      <c r="B28" s="41"/>
      <c r="C28" s="41"/>
      <c r="D28" s="41"/>
      <c r="E28" s="41"/>
      <c r="F28" s="41"/>
      <c r="G28" s="41"/>
    </row>
    <row r="29" customFormat="false" ht="14.25" hidden="false" customHeight="true" outlineLevel="0" collapsed="false">
      <c r="A29" s="38" t="s">
        <v>163</v>
      </c>
      <c r="B29" s="41"/>
      <c r="C29" s="41"/>
      <c r="D29" s="41"/>
      <c r="E29" s="41"/>
      <c r="F29" s="41"/>
      <c r="G29" s="41"/>
    </row>
    <row r="30" customFormat="false" ht="14.25" hidden="false" customHeight="true" outlineLevel="0" collapsed="false">
      <c r="A30" s="38" t="s">
        <v>164</v>
      </c>
      <c r="B30" s="41"/>
      <c r="C30" s="41"/>
      <c r="D30" s="41"/>
      <c r="E30" s="41"/>
      <c r="F30" s="41"/>
      <c r="G30" s="41"/>
    </row>
    <row r="31" customFormat="false" ht="14.25" hidden="false" customHeight="true" outlineLevel="0" collapsed="false">
      <c r="A31" s="38" t="s">
        <v>165</v>
      </c>
      <c r="B31" s="41"/>
      <c r="C31" s="41"/>
      <c r="D31" s="41"/>
      <c r="E31" s="41"/>
      <c r="F31" s="41"/>
      <c r="G31" s="41"/>
    </row>
    <row r="32" customFormat="false" ht="14.25" hidden="false" customHeight="true" outlineLevel="0" collapsed="false">
      <c r="A32" s="38" t="s">
        <v>166</v>
      </c>
      <c r="B32" s="41"/>
      <c r="C32" s="41"/>
      <c r="D32" s="41"/>
      <c r="E32" s="41"/>
      <c r="F32" s="41"/>
      <c r="G32" s="41"/>
    </row>
    <row r="33" customFormat="false" ht="14.25" hidden="false" customHeight="true" outlineLevel="0" collapsed="false">
      <c r="A33" s="38" t="s">
        <v>167</v>
      </c>
      <c r="B33" s="41"/>
      <c r="C33" s="41"/>
      <c r="D33" s="41"/>
      <c r="E33" s="41"/>
      <c r="F33" s="41"/>
      <c r="G33" s="41"/>
    </row>
    <row r="34" customFormat="false" ht="14.25" hidden="false" customHeight="true" outlineLevel="0" collapsed="false">
      <c r="A34" s="41" t="s">
        <v>168</v>
      </c>
      <c r="B34" s="41"/>
      <c r="C34" s="41"/>
      <c r="D34" s="41"/>
      <c r="E34" s="41"/>
      <c r="F34" s="41"/>
      <c r="G34" s="41"/>
    </row>
    <row r="35" customFormat="false" ht="14.25" hidden="false" customHeight="true" outlineLevel="0" collapsed="false">
      <c r="A35" s="48" t="s">
        <v>169</v>
      </c>
      <c r="B35" s="41"/>
      <c r="C35" s="41"/>
      <c r="D35" s="41"/>
      <c r="E35" s="41"/>
      <c r="F35" s="41"/>
      <c r="G35" s="41"/>
    </row>
    <row r="36" customFormat="false" ht="14.25" hidden="false" customHeight="true" outlineLevel="0" collapsed="false">
      <c r="A36" s="38"/>
      <c r="B36" s="49"/>
      <c r="C36" s="49" t="n">
        <v>59100</v>
      </c>
      <c r="D36" s="49" t="n">
        <v>58722</v>
      </c>
      <c r="E36" s="49" t="n">
        <v>59866</v>
      </c>
      <c r="F36" s="49" t="n">
        <f aca="false">SUM(B34:E34)</f>
        <v>0</v>
      </c>
      <c r="G36" s="41"/>
    </row>
    <row r="37" customFormat="false" ht="14.25" hidden="false" customHeight="true" outlineLevel="0" collapsed="false">
      <c r="A37" s="38"/>
      <c r="B37" s="49"/>
      <c r="C37" s="49" t="n">
        <v>53500</v>
      </c>
      <c r="D37" s="49" t="n">
        <v>47322</v>
      </c>
      <c r="E37" s="49" t="n">
        <v>48166</v>
      </c>
      <c r="F37" s="49" t="n">
        <f aca="false">SUM(B35:E35)</f>
        <v>0</v>
      </c>
      <c r="G37" s="41"/>
    </row>
    <row r="38" customFormat="false" ht="14.25" hidden="false" customHeight="true" outlineLevel="0" collapsed="false">
      <c r="A38" s="38"/>
      <c r="B38" s="49"/>
      <c r="C38" s="49" t="n">
        <v>5600</v>
      </c>
      <c r="D38" s="49" t="n">
        <v>11400</v>
      </c>
      <c r="E38" s="49" t="n">
        <v>11700</v>
      </c>
      <c r="F38" s="49" t="n">
        <f aca="false">SUM(B36:E36)</f>
        <v>177688</v>
      </c>
      <c r="G38" s="41"/>
    </row>
    <row r="39" customFormat="false" ht="14.25" hidden="false" customHeight="true" outlineLevel="0" collapsed="false">
      <c r="A39" s="41"/>
      <c r="B39" s="41"/>
      <c r="C39" s="41"/>
      <c r="D39" s="41"/>
      <c r="E39" s="41"/>
      <c r="F39" s="41"/>
      <c r="G39" s="41"/>
    </row>
    <row r="40" customFormat="false" ht="14.25" hidden="false" customHeight="true" outlineLevel="0" collapsed="false">
      <c r="A40" s="41"/>
      <c r="B40" s="41"/>
      <c r="C40" s="41"/>
      <c r="D40" s="41"/>
      <c r="E40" s="41"/>
      <c r="F40" s="41"/>
      <c r="G40" s="41"/>
    </row>
    <row r="41" customFormat="false" ht="14.25" hidden="false" customHeight="true" outlineLevel="0" collapsed="false">
      <c r="A41" s="41"/>
      <c r="B41" s="41"/>
      <c r="C41" s="41"/>
      <c r="D41" s="41"/>
      <c r="E41" s="41"/>
      <c r="F41" s="41"/>
      <c r="G41" s="41"/>
    </row>
    <row r="42" customFormat="false" ht="14.25" hidden="false" customHeight="true" outlineLevel="0" collapsed="false">
      <c r="A42" s="41"/>
      <c r="B42" s="41"/>
      <c r="C42" s="41"/>
      <c r="D42" s="41"/>
      <c r="E42" s="41"/>
      <c r="F42" s="41"/>
      <c r="G42" s="41"/>
    </row>
    <row r="43" customFormat="false" ht="14.25" hidden="false" customHeight="true" outlineLevel="0" collapsed="false">
      <c r="A43" s="41"/>
      <c r="B43" s="41"/>
      <c r="C43" s="41"/>
      <c r="D43" s="41"/>
      <c r="E43" s="41"/>
      <c r="F43" s="41"/>
      <c r="G43" s="4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2026-08-27T10:41:05Z</dcterms:created>
  <dc:creator>openpyxl</dc:creator>
  <dc:description/>
  <dc:language>en-US</dc:language>
  <cp:lastModifiedBy>Clément Chardon</cp:lastModifiedBy>
  <dcterms:modified xsi:type="dcterms:W3CDTF">2026-09-29T08:43:31Z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